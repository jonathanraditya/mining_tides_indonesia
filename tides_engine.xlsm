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#PROJECT\floodmap\tides\"/>
    </mc:Choice>
  </mc:AlternateContent>
  <xr:revisionPtr revIDLastSave="0" documentId="13_ncr:1_{1F1B4E18-EA2A-48F0-B570-C6478F7BD544}" xr6:coauthVersionLast="47" xr6:coauthVersionMax="47" xr10:uidLastSave="{00000000-0000-0000-0000-000000000000}"/>
  <bookViews>
    <workbookView xWindow="4665" yWindow="2550" windowWidth="21600" windowHeight="11385" activeTab="1" xr2:uid="{00000000-000D-0000-FFFF-FFFF00000000}"/>
  </bookViews>
  <sheets>
    <sheet name="Teori" sheetId="1" r:id="rId1"/>
    <sheet name="Input" sheetId="2" r:id="rId2"/>
    <sheet name="Calculation" sheetId="3" r:id="rId3"/>
    <sheet name="Sheet1" sheetId="4" r:id="rId4"/>
  </sheets>
  <definedNames>
    <definedName name="_1stA">Calculation!$H$5</definedName>
    <definedName name="_1stDate">Input!$B$10</definedName>
    <definedName name="_1stObs">Input!$C$10</definedName>
    <definedName name="_1stOutput">Calculation!$M$4</definedName>
    <definedName name="_1stPeriod">Calculation!$G$5</definedName>
    <definedName name="_chartCalculations">Calculation!$O$4:$O$363</definedName>
    <definedName name="_chartDate">Calculation!$M$4:$M$363</definedName>
    <definedName name="_chartDelta">Calculation!$P$4:$P$363</definedName>
    <definedName name="_chartObservations">Calculation!$N$4:$N$363</definedName>
    <definedName name="_MSL">Calculation!$K$4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0" i="4" l="1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H1" i="4"/>
  <c r="K47" i="3"/>
  <c r="D46" i="3"/>
  <c r="D48" i="3" s="1"/>
  <c r="D49" i="3" s="1"/>
  <c r="J44" i="3"/>
  <c r="J42" i="3" s="1"/>
  <c r="G44" i="3"/>
  <c r="F44" i="3" s="1"/>
  <c r="E44" i="3"/>
  <c r="D44" i="3" s="1"/>
  <c r="G43" i="3"/>
  <c r="F43" i="3" s="1"/>
  <c r="E43" i="3"/>
  <c r="D43" i="3" s="1"/>
  <c r="G42" i="3"/>
  <c r="F42" i="3" s="1"/>
  <c r="E42" i="3"/>
  <c r="D42" i="3" s="1"/>
  <c r="E15" i="3"/>
  <c r="F15" i="3" s="1"/>
  <c r="G13" i="3"/>
  <c r="G12" i="3"/>
  <c r="G11" i="3"/>
  <c r="G10" i="3"/>
  <c r="G9" i="3"/>
  <c r="G8" i="3"/>
  <c r="G7" i="3"/>
  <c r="G6" i="3"/>
  <c r="G5" i="3"/>
  <c r="R4" i="3"/>
  <c r="B12" i="2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A12" i="2"/>
  <c r="B11" i="2"/>
  <c r="A11" i="2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C9" i="2"/>
  <c r="J46" i="3" l="1"/>
  <c r="J47" i="3"/>
  <c r="A13" i="2"/>
  <c r="J43" i="3" l="1"/>
  <c r="J45" i="3"/>
  <c r="A15" i="2"/>
  <c r="A14" i="2"/>
  <c r="A16" i="2" l="1"/>
  <c r="A17" i="2"/>
  <c r="A18" i="2" l="1"/>
  <c r="A19" i="2" s="1"/>
  <c r="A20" i="2" s="1"/>
  <c r="A21" i="2" s="1"/>
  <c r="A22" i="2" s="1"/>
  <c r="A23" i="2" l="1"/>
  <c r="A2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zainul ulum</author>
  </authors>
  <commentList>
    <comment ref="B10" authorId="0" shapeId="0" xr:uid="{00000000-0006-0000-0100-000001000000}">
      <text>
        <r>
          <rPr>
            <sz val="10"/>
            <rFont val="Tahoma"/>
            <family val="2"/>
          </rPr>
          <t>zainul ulum:
Masukkan tanggal awal pengukuran.
Format tanggal bulan/tanggal/tahun
Jika pengukuran 12 Maret 2008, masukkan 3/12/2008</t>
        </r>
      </text>
    </comment>
  </commentList>
</comments>
</file>

<file path=xl/sharedStrings.xml><?xml version="1.0" encoding="utf-8"?>
<sst xmlns="http://schemas.openxmlformats.org/spreadsheetml/2006/main" count="86" uniqueCount="74">
  <si>
    <t>Source:</t>
  </si>
  <si>
    <t>http://www.math.sunysb.edu/~tony/tides/harmonic.html</t>
  </si>
  <si>
    <t>TIDAL OBSERVATION</t>
  </si>
  <si>
    <t>Location
Lokasi</t>
  </si>
  <si>
    <t>:</t>
  </si>
  <si>
    <t>Instrument
Alat</t>
  </si>
  <si>
    <t>Administrative Village
Desa</t>
  </si>
  <si>
    <t xml:space="preserve">: </t>
  </si>
  <si>
    <t>Unit
Satuan</t>
  </si>
  <si>
    <t>: meter</t>
  </si>
  <si>
    <t>Sub District
Kecamatan</t>
  </si>
  <si>
    <t>District
Kabupaten</t>
  </si>
  <si>
    <t>Time Zone from GMT
Zona Waktu</t>
  </si>
  <si>
    <t>Day</t>
  </si>
  <si>
    <t>Date</t>
  </si>
  <si>
    <t>hour @</t>
  </si>
  <si>
    <t>#</t>
  </si>
  <si>
    <t>Tide characteristics</t>
  </si>
  <si>
    <t>No</t>
  </si>
  <si>
    <t>Constituents</t>
  </si>
  <si>
    <t>Symbol</t>
  </si>
  <si>
    <t>Description</t>
  </si>
  <si>
    <t>Period (hour)</t>
  </si>
  <si>
    <t>ω
(rad/hour)</t>
  </si>
  <si>
    <t>A</t>
  </si>
  <si>
    <t>B</t>
  </si>
  <si>
    <t>go</t>
  </si>
  <si>
    <t>H=Amplitude (m)</t>
  </si>
  <si>
    <t>Date and hour</t>
  </si>
  <si>
    <t>Observation
(obs)</t>
  </si>
  <si>
    <t>Calculation
(calc)</t>
  </si>
  <si>
    <t>obs - calc
(V)</t>
  </si>
  <si>
    <t>hour #</t>
  </si>
  <si>
    <t>phase</t>
  </si>
  <si>
    <t>Average water level</t>
  </si>
  <si>
    <t>Z0</t>
  </si>
  <si>
    <t>Main lunar constituent</t>
  </si>
  <si>
    <t>M2</t>
  </si>
  <si>
    <t>semi diurnal</t>
  </si>
  <si>
    <t>Main solar constituent</t>
  </si>
  <si>
    <t>S2</t>
  </si>
  <si>
    <t>Lunar constituent, due to Earth-Moon distance</t>
  </si>
  <si>
    <t>N2</t>
  </si>
  <si>
    <t>Soli-lunar constituent, due to the change of declination</t>
  </si>
  <si>
    <t>K2</t>
  </si>
  <si>
    <t>Soli-lunar constituent</t>
  </si>
  <si>
    <t>K1</t>
  </si>
  <si>
    <t>diurnal</t>
  </si>
  <si>
    <t>O1</t>
  </si>
  <si>
    <t>P1</t>
  </si>
  <si>
    <t>M4</t>
  </si>
  <si>
    <t>quarterly</t>
  </si>
  <si>
    <t>MS4</t>
  </si>
  <si>
    <t>Formzal Number</t>
  </si>
  <si>
    <t>F</t>
  </si>
  <si>
    <t>Note</t>
  </si>
  <si>
    <t>Minimun</t>
  </si>
  <si>
    <t>Maximum</t>
  </si>
  <si>
    <t>WaterLevel</t>
  </si>
  <si>
    <t>Var</t>
  </si>
  <si>
    <t>Amp (m)</t>
  </si>
  <si>
    <t>Observation</t>
  </si>
  <si>
    <t>HHWL</t>
  </si>
  <si>
    <t>Calculation</t>
  </si>
  <si>
    <t>MHWL</t>
  </si>
  <si>
    <t>obs - calc</t>
  </si>
  <si>
    <t>MSL</t>
  </si>
  <si>
    <t>MLWL</t>
  </si>
  <si>
    <t>Number of observations (n)</t>
  </si>
  <si>
    <t>LLWL</t>
  </si>
  <si>
    <t>Number of parameters (u)</t>
  </si>
  <si>
    <t>Redundan (r=n-u)</t>
  </si>
  <si>
    <t>Standard Deviation</t>
  </si>
  <si>
    <t>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</si>
</sst>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0."/>
    <numFmt numFmtId="165" formatCode="_(* #,##0.00000_);_(* \(#,##0.00000\);_(* &quot;-&quot;?????_);_(@_)"/>
    <numFmt numFmtId="166" formatCode="_(* #,##0.0000_);_(* \(#,##0.0000\);_(* &quot;-&quot;????_);_(@_)"/>
    <numFmt numFmtId="167" formatCode="[$-409]d\-mmm\-yy;@"/>
    <numFmt numFmtId="168" formatCode="0.000_)"/>
    <numFmt numFmtId="169" formatCode="0.0000"/>
    <numFmt numFmtId="170" formatCode="0.0000_)"/>
    <numFmt numFmtId="171" formatCode="0.0000&quot;°&quot;_)"/>
    <numFmt numFmtId="172" formatCode="m/d/yy\ h:mm;@"/>
    <numFmt numFmtId="173" formatCode="d\-mmm\-yy\ hh:mm"/>
    <numFmt numFmtId="174" formatCode="0.000"/>
    <numFmt numFmtId="175" formatCode="h:mm;@"/>
  </numFmts>
  <fonts count="11" x14ac:knownFonts="1">
    <font>
      <sz val="10"/>
      <name val="Tahoma"/>
    </font>
    <font>
      <sz val="10"/>
      <name val="Tahoma"/>
      <family val="2"/>
    </font>
    <font>
      <sz val="10"/>
      <name val="Arial"/>
      <family val="2"/>
    </font>
    <font>
      <sz val="14"/>
      <name val="Tahoma"/>
      <family val="2"/>
    </font>
    <font>
      <sz val="10"/>
      <name val="Tahoma"/>
      <family val="2"/>
    </font>
    <font>
      <u/>
      <sz val="10"/>
      <name val="Tahoma"/>
      <family val="2"/>
    </font>
    <font>
      <sz val="10"/>
      <color indexed="9"/>
      <name val="Tahoma"/>
      <family val="2"/>
    </font>
    <font>
      <b/>
      <sz val="10"/>
      <name val="Tahoma"/>
      <family val="2"/>
    </font>
    <font>
      <sz val="14"/>
      <name val="Arial"/>
      <family val="2"/>
    </font>
    <font>
      <sz val="10"/>
      <name val="Arial"/>
      <family val="2"/>
    </font>
    <font>
      <sz val="12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4" fillId="0" borderId="0"/>
    <xf numFmtId="0" fontId="9" fillId="0" borderId="0"/>
  </cellStyleXfs>
  <cellXfs count="97">
    <xf numFmtId="0" fontId="0" fillId="0" borderId="0" xfId="0"/>
    <xf numFmtId="0" fontId="8" fillId="0" borderId="0" xfId="2" applyFont="1"/>
    <xf numFmtId="0" fontId="9" fillId="0" borderId="0" xfId="2" applyAlignment="1">
      <alignment vertical="center"/>
    </xf>
    <xf numFmtId="164" fontId="9" fillId="0" borderId="1" xfId="2" applyNumberFormat="1" applyBorder="1" applyAlignment="1">
      <alignment vertical="center" wrapText="1"/>
    </xf>
    <xf numFmtId="0" fontId="9" fillId="0" borderId="2" xfId="2" applyBorder="1" applyAlignment="1">
      <alignment vertical="center" wrapText="1"/>
    </xf>
    <xf numFmtId="0" fontId="9" fillId="0" borderId="2" xfId="2" applyBorder="1" applyAlignment="1">
      <alignment horizontal="center" vertical="center" wrapText="1"/>
    </xf>
    <xf numFmtId="0" fontId="9" fillId="0" borderId="2" xfId="2" applyBorder="1" applyAlignment="1">
      <alignment horizontal="center" vertical="center"/>
    </xf>
    <xf numFmtId="164" fontId="9" fillId="0" borderId="3" xfId="2" applyNumberFormat="1" applyBorder="1" applyAlignment="1">
      <alignment vertical="center" wrapText="1"/>
    </xf>
    <xf numFmtId="0" fontId="9" fillId="0" borderId="4" xfId="2" applyBorder="1" applyAlignment="1">
      <alignment vertical="center" wrapText="1"/>
    </xf>
    <xf numFmtId="164" fontId="9" fillId="0" borderId="5" xfId="2" applyNumberFormat="1" applyBorder="1" applyAlignment="1">
      <alignment vertical="center" wrapText="1"/>
    </xf>
    <xf numFmtId="0" fontId="9" fillId="0" borderId="6" xfId="2" applyBorder="1" applyAlignment="1">
      <alignment vertical="center" wrapText="1"/>
    </xf>
    <xf numFmtId="164" fontId="10" fillId="0" borderId="0" xfId="2" applyNumberFormat="1" applyFont="1"/>
    <xf numFmtId="0" fontId="10" fillId="0" borderId="0" xfId="2" applyFont="1"/>
    <xf numFmtId="0" fontId="9" fillId="0" borderId="0" xfId="2" applyAlignment="1">
      <alignment horizontal="right" indent="1"/>
    </xf>
    <xf numFmtId="0" fontId="9" fillId="0" borderId="0" xfId="2" applyAlignment="1">
      <alignment horizontal="left" indent="1"/>
    </xf>
    <xf numFmtId="2" fontId="10" fillId="0" borderId="0" xfId="2" applyNumberFormat="1" applyFont="1" applyAlignment="1">
      <alignment horizontal="right" indent="1"/>
    </xf>
    <xf numFmtId="0" fontId="10" fillId="0" borderId="0" xfId="2" applyFont="1" applyAlignment="1">
      <alignment horizontal="left" indent="1"/>
    </xf>
    <xf numFmtId="165" fontId="9" fillId="2" borderId="2" xfId="1" quotePrefix="1" applyNumberFormat="1" applyFont="1" applyFill="1" applyBorder="1" applyAlignment="1">
      <alignment vertical="center"/>
    </xf>
    <xf numFmtId="165" fontId="9" fillId="2" borderId="4" xfId="2" applyNumberFormat="1" applyFill="1" applyBorder="1" applyAlignment="1">
      <alignment horizontal="center" vertical="center" wrapText="1"/>
    </xf>
    <xf numFmtId="165" fontId="9" fillId="2" borderId="6" xfId="2" applyNumberFormat="1" applyFill="1" applyBorder="1" applyAlignment="1">
      <alignment horizontal="center" vertical="center" wrapText="1"/>
    </xf>
    <xf numFmtId="0" fontId="4" fillId="0" borderId="0" xfId="2" applyFont="1"/>
    <xf numFmtId="166" fontId="9" fillId="0" borderId="2" xfId="1" quotePrefix="1" applyNumberFormat="1" applyFont="1" applyBorder="1" applyAlignment="1">
      <alignment vertical="center" wrapText="1"/>
    </xf>
    <xf numFmtId="166" fontId="9" fillId="0" borderId="4" xfId="2" applyNumberFormat="1" applyBorder="1" applyAlignment="1">
      <alignment horizontal="center" vertical="center" wrapText="1"/>
    </xf>
    <xf numFmtId="166" fontId="9" fillId="0" borderId="6" xfId="2" applyNumberFormat="1" applyBorder="1" applyAlignment="1">
      <alignment horizontal="center" vertical="center" wrapText="1"/>
    </xf>
    <xf numFmtId="0" fontId="3" fillId="0" borderId="0" xfId="2" applyFont="1" applyProtection="1">
      <protection locked="0"/>
    </xf>
    <xf numFmtId="0" fontId="4" fillId="0" borderId="0" xfId="2" applyFont="1" applyProtection="1">
      <protection locked="0"/>
    </xf>
    <xf numFmtId="0" fontId="4" fillId="0" borderId="0" xfId="2" applyFont="1" applyAlignment="1" applyProtection="1">
      <alignment vertical="center"/>
      <protection locked="0"/>
    </xf>
    <xf numFmtId="0" fontId="5" fillId="0" borderId="0" xfId="2" applyFont="1" applyAlignment="1" applyProtection="1">
      <alignment vertical="center" wrapText="1"/>
      <protection locked="0"/>
    </xf>
    <xf numFmtId="0" fontId="6" fillId="0" borderId="0" xfId="2" applyFont="1" applyProtection="1"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14" xfId="2" applyFont="1" applyBorder="1"/>
    <xf numFmtId="0" fontId="4" fillId="0" borderId="15" xfId="2" applyFont="1" applyBorder="1"/>
    <xf numFmtId="167" fontId="4" fillId="0" borderId="4" xfId="2" applyNumberFormat="1" applyFont="1" applyBorder="1"/>
    <xf numFmtId="168" fontId="4" fillId="4" borderId="13" xfId="2" applyNumberFormat="1" applyFont="1" applyFill="1" applyBorder="1" applyProtection="1">
      <protection locked="0"/>
    </xf>
    <xf numFmtId="168" fontId="4" fillId="4" borderId="16" xfId="2" applyNumberFormat="1" applyFont="1" applyFill="1" applyBorder="1" applyProtection="1">
      <protection locked="0"/>
    </xf>
    <xf numFmtId="0" fontId="9" fillId="0" borderId="4" xfId="2" applyBorder="1" applyAlignment="1">
      <alignment horizontal="center" vertical="center" wrapText="1"/>
    </xf>
    <xf numFmtId="0" fontId="9" fillId="0" borderId="6" xfId="2" applyBorder="1" applyAlignment="1">
      <alignment horizontal="center" vertical="center" wrapText="1"/>
    </xf>
    <xf numFmtId="0" fontId="1" fillId="0" borderId="0" xfId="0" applyFont="1"/>
    <xf numFmtId="0" fontId="2" fillId="0" borderId="7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 wrapText="1"/>
    </xf>
    <xf numFmtId="0" fontId="2" fillId="0" borderId="8" xfId="2" applyFont="1" applyBorder="1" applyAlignment="1">
      <alignment vertical="center"/>
    </xf>
    <xf numFmtId="0" fontId="2" fillId="0" borderId="8" xfId="2" applyFont="1" applyBorder="1" applyAlignment="1">
      <alignment horizontal="center" vertical="center"/>
    </xf>
    <xf numFmtId="169" fontId="2" fillId="2" borderId="9" xfId="2" applyNumberFormat="1" applyFont="1" applyFill="1" applyBorder="1" applyAlignment="1">
      <alignment horizontal="center" vertical="center" wrapText="1"/>
    </xf>
    <xf numFmtId="169" fontId="2" fillId="2" borderId="10" xfId="2" applyNumberFormat="1" applyFont="1" applyFill="1" applyBorder="1" applyAlignment="1">
      <alignment horizontal="center" vertical="center" wrapText="1"/>
    </xf>
    <xf numFmtId="169" fontId="2" fillId="2" borderId="11" xfId="2" applyNumberFormat="1" applyFont="1" applyFill="1" applyBorder="1" applyAlignment="1">
      <alignment horizontal="center" vertical="center" wrapText="1"/>
    </xf>
    <xf numFmtId="170" fontId="2" fillId="0" borderId="2" xfId="2" applyNumberFormat="1" applyFont="1" applyBorder="1" applyAlignment="1">
      <alignment vertical="center"/>
    </xf>
    <xf numFmtId="171" fontId="2" fillId="0" borderId="2" xfId="2" quotePrefix="1" applyNumberFormat="1" applyFont="1" applyBorder="1" applyAlignment="1">
      <alignment horizontal="center" vertical="center"/>
    </xf>
    <xf numFmtId="170" fontId="2" fillId="0" borderId="4" xfId="2" applyNumberFormat="1" applyFont="1" applyBorder="1" applyAlignment="1">
      <alignment vertical="center"/>
    </xf>
    <xf numFmtId="171" fontId="2" fillId="0" borderId="4" xfId="2" applyNumberFormat="1" applyFont="1" applyBorder="1" applyAlignment="1">
      <alignment horizontal="center" vertical="center" wrapText="1"/>
    </xf>
    <xf numFmtId="170" fontId="2" fillId="0" borderId="6" xfId="2" applyNumberFormat="1" applyFont="1" applyBorder="1" applyAlignment="1">
      <alignment vertical="center"/>
    </xf>
    <xf numFmtId="171" fontId="2" fillId="0" borderId="6" xfId="2" applyNumberFormat="1" applyFont="1" applyBorder="1" applyAlignment="1">
      <alignment horizontal="center" vertical="center" wrapText="1"/>
    </xf>
    <xf numFmtId="172" fontId="0" fillId="0" borderId="0" xfId="0" applyNumberFormat="1"/>
    <xf numFmtId="173" fontId="0" fillId="0" borderId="0" xfId="0" applyNumberFormat="1"/>
    <xf numFmtId="0" fontId="1" fillId="0" borderId="0" xfId="2" applyFont="1" applyAlignment="1" applyProtection="1">
      <alignment vertical="center"/>
      <protection locked="0"/>
    </xf>
    <xf numFmtId="2" fontId="0" fillId="0" borderId="0" xfId="0" applyNumberFormat="1"/>
    <xf numFmtId="0" fontId="1" fillId="0" borderId="21" xfId="0" applyFont="1" applyBorder="1"/>
    <xf numFmtId="0" fontId="1" fillId="0" borderId="21" xfId="0" applyFont="1" applyBorder="1" applyAlignment="1">
      <alignment horizontal="centerContinuous"/>
    </xf>
    <xf numFmtId="0" fontId="0" fillId="0" borderId="21" xfId="0" applyBorder="1" applyAlignment="1">
      <alignment horizontal="centerContinuous"/>
    </xf>
    <xf numFmtId="0" fontId="1" fillId="0" borderId="22" xfId="0" applyFont="1" applyBorder="1"/>
    <xf numFmtId="173" fontId="0" fillId="0" borderId="22" xfId="0" applyNumberFormat="1" applyBorder="1"/>
    <xf numFmtId="174" fontId="0" fillId="0" borderId="22" xfId="1" applyNumberFormat="1" applyFont="1" applyBorder="1"/>
    <xf numFmtId="0" fontId="0" fillId="0" borderId="12" xfId="0" applyBorder="1"/>
    <xf numFmtId="173" fontId="0" fillId="0" borderId="12" xfId="0" applyNumberFormat="1" applyBorder="1"/>
    <xf numFmtId="174" fontId="0" fillId="0" borderId="12" xfId="1" applyNumberFormat="1" applyFont="1" applyBorder="1"/>
    <xf numFmtId="0" fontId="1" fillId="0" borderId="20" xfId="0" applyFont="1" applyBorder="1"/>
    <xf numFmtId="0" fontId="1" fillId="0" borderId="0" xfId="0" applyFont="1" applyAlignment="1">
      <alignment horizontal="right"/>
    </xf>
    <xf numFmtId="0" fontId="1" fillId="0" borderId="12" xfId="0" applyFont="1" applyBorder="1" applyAlignment="1">
      <alignment wrapText="1"/>
    </xf>
    <xf numFmtId="174" fontId="0" fillId="0" borderId="0" xfId="0" applyNumberFormat="1"/>
    <xf numFmtId="0" fontId="0" fillId="0" borderId="20" xfId="0" applyBorder="1"/>
    <xf numFmtId="1" fontId="0" fillId="0" borderId="0" xfId="0" applyNumberFormat="1"/>
    <xf numFmtId="167" fontId="4" fillId="0" borderId="13" xfId="2" applyNumberFormat="1" applyFont="1" applyBorder="1"/>
    <xf numFmtId="0" fontId="7" fillId="0" borderId="20" xfId="2" applyFont="1" applyBorder="1" applyAlignment="1">
      <alignment horizontal="center"/>
    </xf>
    <xf numFmtId="0" fontId="7" fillId="0" borderId="20" xfId="2" applyFont="1" applyBorder="1" applyAlignment="1">
      <alignment horizontal="centerContinuous"/>
    </xf>
    <xf numFmtId="0" fontId="7" fillId="0" borderId="20" xfId="2" applyFont="1" applyBorder="1"/>
    <xf numFmtId="175" fontId="7" fillId="0" borderId="20" xfId="2" applyNumberFormat="1" applyFont="1" applyBorder="1" applyAlignment="1">
      <alignment horizontal="center"/>
    </xf>
    <xf numFmtId="0" fontId="4" fillId="0" borderId="20" xfId="2" applyFont="1" applyBorder="1"/>
    <xf numFmtId="167" fontId="4" fillId="3" borderId="20" xfId="2" applyNumberFormat="1" applyFont="1" applyFill="1" applyBorder="1" applyProtection="1">
      <protection locked="0"/>
    </xf>
    <xf numFmtId="167" fontId="4" fillId="0" borderId="20" xfId="2" applyNumberFormat="1" applyFont="1" applyBorder="1"/>
    <xf numFmtId="0" fontId="1" fillId="0" borderId="20" xfId="0" applyFont="1" applyBorder="1" applyAlignment="1">
      <alignment horizontal="center"/>
    </xf>
    <xf numFmtId="169" fontId="0" fillId="0" borderId="20" xfId="0" applyNumberFormat="1" applyBorder="1" applyAlignment="1">
      <alignment horizontal="center"/>
    </xf>
    <xf numFmtId="174" fontId="1" fillId="0" borderId="0" xfId="0" applyNumberFormat="1" applyFont="1"/>
    <xf numFmtId="0" fontId="5" fillId="0" borderId="0" xfId="2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9" fillId="0" borderId="4" xfId="2" applyBorder="1" applyAlignment="1">
      <alignment horizontal="center" vertical="center" wrapText="1"/>
    </xf>
    <xf numFmtId="0" fontId="0" fillId="0" borderId="23" xfId="0" applyBorder="1"/>
    <xf numFmtId="0" fontId="0" fillId="0" borderId="13" xfId="0" applyBorder="1"/>
    <xf numFmtId="0" fontId="1" fillId="0" borderId="17" xfId="2" applyFont="1" applyBorder="1" applyAlignment="1">
      <alignment horizontal="center" vertical="top" wrapText="1"/>
    </xf>
    <xf numFmtId="0" fontId="0" fillId="0" borderId="0" xfId="0"/>
    <xf numFmtId="0" fontId="9" fillId="0" borderId="24" xfId="2" applyBorder="1" applyAlignment="1">
      <alignment horizontal="center" vertical="center"/>
    </xf>
    <xf numFmtId="0" fontId="0" fillId="0" borderId="19" xfId="0" applyBorder="1"/>
    <xf numFmtId="0" fontId="9" fillId="0" borderId="25" xfId="2" applyBorder="1" applyAlignment="1">
      <alignment horizontal="center" vertical="center"/>
    </xf>
    <xf numFmtId="0" fontId="0" fillId="0" borderId="8" xfId="0" applyBorder="1"/>
    <xf numFmtId="0" fontId="9" fillId="0" borderId="25" xfId="2" applyBorder="1" applyAlignment="1">
      <alignment horizontal="center" vertical="center" wrapText="1"/>
    </xf>
    <xf numFmtId="0" fontId="9" fillId="2" borderId="25" xfId="2" applyFill="1" applyBorder="1" applyAlignment="1">
      <alignment horizontal="center" vertical="center" wrapText="1"/>
    </xf>
    <xf numFmtId="0" fontId="4" fillId="0" borderId="17" xfId="2" applyFont="1" applyBorder="1" applyAlignment="1">
      <alignment horizontal="center" vertical="top" wrapText="1"/>
    </xf>
    <xf numFmtId="0" fontId="2" fillId="2" borderId="26" xfId="2" applyFont="1" applyFill="1" applyBorder="1" applyAlignment="1">
      <alignment horizontal="center" vertical="center" wrapText="1"/>
    </xf>
    <xf numFmtId="0" fontId="0" fillId="0" borderId="18" xfId="0" applyBorder="1"/>
  </cellXfs>
  <cellStyles count="3">
    <cellStyle name="Comma" xfId="1" builtinId="3"/>
    <cellStyle name="Normal" xfId="0" builtinId="0"/>
    <cellStyle name="Normal_HKT-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204088475724678E-2"/>
          <c:y val="4.3745152423322962E-2"/>
          <c:w val="0.91777664062220854"/>
          <c:h val="0.588644043482418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Calculation!$N$2</c:f>
              <c:strCache>
                <c:ptCount val="1"/>
                <c:pt idx="0">
                  <c:v>Observation
(obs)</c:v>
                </c:pt>
              </c:strCache>
            </c:strRef>
          </c:tx>
          <c:spPr>
            <a:ln w="9525">
              <a:prstDash val="sysDash"/>
            </a:ln>
          </c:spPr>
          <c:marker>
            <c:symbol val="circle"/>
            <c:size val="3"/>
            <c:spPr>
              <a:noFill/>
              <a:ln>
                <a:prstDash val="solid"/>
              </a:ln>
            </c:spPr>
          </c:marker>
          <c:xVal>
            <c:numRef>
              <c:f>[0]!_chartDate</c:f>
              <c:numCache>
                <c:formatCode>d\-mmm\-yy\ hh:mm</c:formatCode>
                <c:ptCount val="360"/>
                <c:pt idx="0">
                  <c:v>43831</c:v>
                </c:pt>
                <c:pt idx="1">
                  <c:v>43831.041666666664</c:v>
                </c:pt>
                <c:pt idx="2">
                  <c:v>43831.083333333336</c:v>
                </c:pt>
                <c:pt idx="3">
                  <c:v>43831.125</c:v>
                </c:pt>
                <c:pt idx="4">
                  <c:v>43831.166666666664</c:v>
                </c:pt>
                <c:pt idx="5">
                  <c:v>43831.208333333336</c:v>
                </c:pt>
                <c:pt idx="6">
                  <c:v>43831.25</c:v>
                </c:pt>
                <c:pt idx="7">
                  <c:v>43831.291666666664</c:v>
                </c:pt>
                <c:pt idx="8">
                  <c:v>43831.333333333336</c:v>
                </c:pt>
                <c:pt idx="9">
                  <c:v>43831.375</c:v>
                </c:pt>
                <c:pt idx="10">
                  <c:v>43831.416666666664</c:v>
                </c:pt>
                <c:pt idx="11">
                  <c:v>43831.458333333336</c:v>
                </c:pt>
                <c:pt idx="12">
                  <c:v>43831.5</c:v>
                </c:pt>
                <c:pt idx="13">
                  <c:v>43831.541666666664</c:v>
                </c:pt>
                <c:pt idx="14">
                  <c:v>43831.583333333336</c:v>
                </c:pt>
                <c:pt idx="15">
                  <c:v>43831.625</c:v>
                </c:pt>
                <c:pt idx="16">
                  <c:v>43831.666666666664</c:v>
                </c:pt>
                <c:pt idx="17">
                  <c:v>43831.708333333336</c:v>
                </c:pt>
                <c:pt idx="18">
                  <c:v>43831.75</c:v>
                </c:pt>
                <c:pt idx="19">
                  <c:v>43831.791666666664</c:v>
                </c:pt>
                <c:pt idx="20">
                  <c:v>43831.833333333336</c:v>
                </c:pt>
                <c:pt idx="21">
                  <c:v>43831.875</c:v>
                </c:pt>
                <c:pt idx="22">
                  <c:v>43831.916666666664</c:v>
                </c:pt>
                <c:pt idx="23">
                  <c:v>43831.958333333336</c:v>
                </c:pt>
                <c:pt idx="24">
                  <c:v>43832</c:v>
                </c:pt>
                <c:pt idx="25">
                  <c:v>43832.041666666664</c:v>
                </c:pt>
                <c:pt idx="26">
                  <c:v>43832.083333333336</c:v>
                </c:pt>
                <c:pt idx="27">
                  <c:v>43832.125</c:v>
                </c:pt>
                <c:pt idx="28">
                  <c:v>43832.166666666664</c:v>
                </c:pt>
                <c:pt idx="29">
                  <c:v>43832.208333333336</c:v>
                </c:pt>
                <c:pt idx="30">
                  <c:v>43832.25</c:v>
                </c:pt>
                <c:pt idx="31">
                  <c:v>43832.291666666664</c:v>
                </c:pt>
                <c:pt idx="32">
                  <c:v>43832.333333333336</c:v>
                </c:pt>
                <c:pt idx="33">
                  <c:v>43832.375</c:v>
                </c:pt>
                <c:pt idx="34">
                  <c:v>43832.416666666664</c:v>
                </c:pt>
                <c:pt idx="35">
                  <c:v>43832.458333333336</c:v>
                </c:pt>
                <c:pt idx="36">
                  <c:v>43832.5</c:v>
                </c:pt>
                <c:pt idx="37">
                  <c:v>43832.541666666664</c:v>
                </c:pt>
                <c:pt idx="38">
                  <c:v>43832.583333333336</c:v>
                </c:pt>
                <c:pt idx="39">
                  <c:v>43832.625</c:v>
                </c:pt>
                <c:pt idx="40">
                  <c:v>43832.666666666664</c:v>
                </c:pt>
                <c:pt idx="41">
                  <c:v>43832.708333333336</c:v>
                </c:pt>
                <c:pt idx="42">
                  <c:v>43832.75</c:v>
                </c:pt>
                <c:pt idx="43">
                  <c:v>43832.791666666664</c:v>
                </c:pt>
                <c:pt idx="44">
                  <c:v>43832.833333333336</c:v>
                </c:pt>
                <c:pt idx="45">
                  <c:v>43832.875</c:v>
                </c:pt>
                <c:pt idx="46">
                  <c:v>43832.916666666664</c:v>
                </c:pt>
                <c:pt idx="47">
                  <c:v>43832.958333333336</c:v>
                </c:pt>
                <c:pt idx="48">
                  <c:v>43833</c:v>
                </c:pt>
                <c:pt idx="49">
                  <c:v>43833.041666666664</c:v>
                </c:pt>
                <c:pt idx="50">
                  <c:v>43833.083333333336</c:v>
                </c:pt>
                <c:pt idx="51">
                  <c:v>43833.125</c:v>
                </c:pt>
                <c:pt idx="52">
                  <c:v>43833.166666666664</c:v>
                </c:pt>
                <c:pt idx="53">
                  <c:v>43833.208333333336</c:v>
                </c:pt>
                <c:pt idx="54">
                  <c:v>43833.25</c:v>
                </c:pt>
                <c:pt idx="55">
                  <c:v>43833.291666666664</c:v>
                </c:pt>
                <c:pt idx="56">
                  <c:v>43833.333333333336</c:v>
                </c:pt>
                <c:pt idx="57">
                  <c:v>43833.375</c:v>
                </c:pt>
                <c:pt idx="58">
                  <c:v>43833.416666666664</c:v>
                </c:pt>
                <c:pt idx="59">
                  <c:v>43833.458333333336</c:v>
                </c:pt>
                <c:pt idx="60">
                  <c:v>43833.5</c:v>
                </c:pt>
                <c:pt idx="61">
                  <c:v>43833.541666666664</c:v>
                </c:pt>
                <c:pt idx="62">
                  <c:v>43833.583333333336</c:v>
                </c:pt>
                <c:pt idx="63">
                  <c:v>43833.625</c:v>
                </c:pt>
                <c:pt idx="64">
                  <c:v>43833.666666666664</c:v>
                </c:pt>
                <c:pt idx="65">
                  <c:v>43833.708333333336</c:v>
                </c:pt>
                <c:pt idx="66">
                  <c:v>43833.75</c:v>
                </c:pt>
                <c:pt idx="67">
                  <c:v>43833.791666666664</c:v>
                </c:pt>
                <c:pt idx="68">
                  <c:v>43833.833333333336</c:v>
                </c:pt>
                <c:pt idx="69">
                  <c:v>43833.875</c:v>
                </c:pt>
                <c:pt idx="70">
                  <c:v>43833.916666666664</c:v>
                </c:pt>
                <c:pt idx="71">
                  <c:v>43833.958333333336</c:v>
                </c:pt>
                <c:pt idx="72">
                  <c:v>43834</c:v>
                </c:pt>
                <c:pt idx="73">
                  <c:v>43834.041666666664</c:v>
                </c:pt>
                <c:pt idx="74">
                  <c:v>43834.083333333336</c:v>
                </c:pt>
                <c:pt idx="75">
                  <c:v>43834.125</c:v>
                </c:pt>
                <c:pt idx="76">
                  <c:v>43834.166666666664</c:v>
                </c:pt>
                <c:pt idx="77">
                  <c:v>43834.208333333336</c:v>
                </c:pt>
                <c:pt idx="78">
                  <c:v>43834.25</c:v>
                </c:pt>
                <c:pt idx="79">
                  <c:v>43834.291666666664</c:v>
                </c:pt>
                <c:pt idx="80">
                  <c:v>43834.333333333336</c:v>
                </c:pt>
                <c:pt idx="81">
                  <c:v>43834.375</c:v>
                </c:pt>
                <c:pt idx="82">
                  <c:v>43834.416666666664</c:v>
                </c:pt>
                <c:pt idx="83">
                  <c:v>43834.458333333336</c:v>
                </c:pt>
                <c:pt idx="84">
                  <c:v>43834.5</c:v>
                </c:pt>
                <c:pt idx="85">
                  <c:v>43834.541666666664</c:v>
                </c:pt>
                <c:pt idx="86">
                  <c:v>43834.583333333336</c:v>
                </c:pt>
                <c:pt idx="87">
                  <c:v>43834.625</c:v>
                </c:pt>
                <c:pt idx="88">
                  <c:v>43834.666666666664</c:v>
                </c:pt>
                <c:pt idx="89">
                  <c:v>43834.708333333336</c:v>
                </c:pt>
                <c:pt idx="90">
                  <c:v>43834.75</c:v>
                </c:pt>
                <c:pt idx="91">
                  <c:v>43834.791666666664</c:v>
                </c:pt>
                <c:pt idx="92">
                  <c:v>43834.833333333336</c:v>
                </c:pt>
                <c:pt idx="93">
                  <c:v>43834.875</c:v>
                </c:pt>
                <c:pt idx="94">
                  <c:v>43834.916666666664</c:v>
                </c:pt>
                <c:pt idx="95">
                  <c:v>43834.958333333336</c:v>
                </c:pt>
                <c:pt idx="96">
                  <c:v>43835</c:v>
                </c:pt>
                <c:pt idx="97">
                  <c:v>43835.041666666664</c:v>
                </c:pt>
                <c:pt idx="98">
                  <c:v>43835.083333333336</c:v>
                </c:pt>
                <c:pt idx="99">
                  <c:v>43835.125</c:v>
                </c:pt>
                <c:pt idx="100">
                  <c:v>43835.166666666664</c:v>
                </c:pt>
                <c:pt idx="101">
                  <c:v>43835.208333333336</c:v>
                </c:pt>
                <c:pt idx="102">
                  <c:v>43835.25</c:v>
                </c:pt>
                <c:pt idx="103">
                  <c:v>43835.291666666664</c:v>
                </c:pt>
                <c:pt idx="104">
                  <c:v>43835.333333333336</c:v>
                </c:pt>
                <c:pt idx="105">
                  <c:v>43835.375</c:v>
                </c:pt>
                <c:pt idx="106">
                  <c:v>43835.416666666664</c:v>
                </c:pt>
                <c:pt idx="107">
                  <c:v>43835.458333333336</c:v>
                </c:pt>
                <c:pt idx="108">
                  <c:v>43835.5</c:v>
                </c:pt>
                <c:pt idx="109">
                  <c:v>43835.541666666664</c:v>
                </c:pt>
                <c:pt idx="110">
                  <c:v>43835.583333333336</c:v>
                </c:pt>
                <c:pt idx="111">
                  <c:v>43835.625</c:v>
                </c:pt>
                <c:pt idx="112">
                  <c:v>43835.666666666664</c:v>
                </c:pt>
                <c:pt idx="113">
                  <c:v>43835.708333333336</c:v>
                </c:pt>
                <c:pt idx="114">
                  <c:v>43835.75</c:v>
                </c:pt>
                <c:pt idx="115">
                  <c:v>43835.791666666664</c:v>
                </c:pt>
                <c:pt idx="116">
                  <c:v>43835.833333333336</c:v>
                </c:pt>
                <c:pt idx="117">
                  <c:v>43835.875</c:v>
                </c:pt>
                <c:pt idx="118">
                  <c:v>43835.916666666664</c:v>
                </c:pt>
                <c:pt idx="119">
                  <c:v>43835.958333333336</c:v>
                </c:pt>
                <c:pt idx="120">
                  <c:v>43836</c:v>
                </c:pt>
                <c:pt idx="121">
                  <c:v>43836.041666666664</c:v>
                </c:pt>
                <c:pt idx="122">
                  <c:v>43836.083333333336</c:v>
                </c:pt>
                <c:pt idx="123">
                  <c:v>43836.125</c:v>
                </c:pt>
                <c:pt idx="124">
                  <c:v>43836.166666666664</c:v>
                </c:pt>
                <c:pt idx="125">
                  <c:v>43836.208333333336</c:v>
                </c:pt>
                <c:pt idx="126">
                  <c:v>43836.25</c:v>
                </c:pt>
                <c:pt idx="127">
                  <c:v>43836.291666666664</c:v>
                </c:pt>
                <c:pt idx="128">
                  <c:v>43836.333333333336</c:v>
                </c:pt>
                <c:pt idx="129">
                  <c:v>43836.375</c:v>
                </c:pt>
                <c:pt idx="130">
                  <c:v>43836.416666666664</c:v>
                </c:pt>
                <c:pt idx="131">
                  <c:v>43836.458333333336</c:v>
                </c:pt>
                <c:pt idx="132">
                  <c:v>43836.5</c:v>
                </c:pt>
                <c:pt idx="133">
                  <c:v>43836.541666666664</c:v>
                </c:pt>
                <c:pt idx="134">
                  <c:v>43836.583333333336</c:v>
                </c:pt>
                <c:pt idx="135">
                  <c:v>43836.625</c:v>
                </c:pt>
                <c:pt idx="136">
                  <c:v>43836.666666666664</c:v>
                </c:pt>
                <c:pt idx="137">
                  <c:v>43836.708333333336</c:v>
                </c:pt>
                <c:pt idx="138">
                  <c:v>43836.75</c:v>
                </c:pt>
                <c:pt idx="139">
                  <c:v>43836.791666666664</c:v>
                </c:pt>
                <c:pt idx="140">
                  <c:v>43836.833333333336</c:v>
                </c:pt>
                <c:pt idx="141">
                  <c:v>43836.875</c:v>
                </c:pt>
                <c:pt idx="142">
                  <c:v>43836.916666666664</c:v>
                </c:pt>
                <c:pt idx="143">
                  <c:v>43836.958333333336</c:v>
                </c:pt>
                <c:pt idx="144">
                  <c:v>43837</c:v>
                </c:pt>
                <c:pt idx="145">
                  <c:v>43837.041666666664</c:v>
                </c:pt>
                <c:pt idx="146">
                  <c:v>43837.083333333336</c:v>
                </c:pt>
                <c:pt idx="147">
                  <c:v>43837.125</c:v>
                </c:pt>
                <c:pt idx="148">
                  <c:v>43837.166666666664</c:v>
                </c:pt>
                <c:pt idx="149">
                  <c:v>43837.208333333336</c:v>
                </c:pt>
                <c:pt idx="150">
                  <c:v>43837.25</c:v>
                </c:pt>
                <c:pt idx="151">
                  <c:v>43837.291666666664</c:v>
                </c:pt>
                <c:pt idx="152">
                  <c:v>43837.333333333336</c:v>
                </c:pt>
                <c:pt idx="153">
                  <c:v>43837.375</c:v>
                </c:pt>
                <c:pt idx="154">
                  <c:v>43837.416666666664</c:v>
                </c:pt>
                <c:pt idx="155">
                  <c:v>43837.458333333336</c:v>
                </c:pt>
                <c:pt idx="156">
                  <c:v>43837.5</c:v>
                </c:pt>
                <c:pt idx="157">
                  <c:v>43837.541666666664</c:v>
                </c:pt>
                <c:pt idx="158">
                  <c:v>43837.583333333336</c:v>
                </c:pt>
                <c:pt idx="159">
                  <c:v>43837.625</c:v>
                </c:pt>
                <c:pt idx="160">
                  <c:v>43837.666666666664</c:v>
                </c:pt>
                <c:pt idx="161">
                  <c:v>43837.708333333336</c:v>
                </c:pt>
                <c:pt idx="162">
                  <c:v>43837.75</c:v>
                </c:pt>
                <c:pt idx="163">
                  <c:v>43837.791666666664</c:v>
                </c:pt>
                <c:pt idx="164">
                  <c:v>43837.833333333336</c:v>
                </c:pt>
                <c:pt idx="165">
                  <c:v>43837.875</c:v>
                </c:pt>
                <c:pt idx="166">
                  <c:v>43837.916666666664</c:v>
                </c:pt>
                <c:pt idx="167">
                  <c:v>43837.958333333336</c:v>
                </c:pt>
                <c:pt idx="168">
                  <c:v>43838</c:v>
                </c:pt>
                <c:pt idx="169">
                  <c:v>43838.041666666664</c:v>
                </c:pt>
                <c:pt idx="170">
                  <c:v>43838.083333333336</c:v>
                </c:pt>
                <c:pt idx="171">
                  <c:v>43838.125</c:v>
                </c:pt>
                <c:pt idx="172">
                  <c:v>43838.166666666664</c:v>
                </c:pt>
                <c:pt idx="173">
                  <c:v>43838.208333333336</c:v>
                </c:pt>
                <c:pt idx="174">
                  <c:v>43838.25</c:v>
                </c:pt>
                <c:pt idx="175">
                  <c:v>43838.291666666664</c:v>
                </c:pt>
                <c:pt idx="176">
                  <c:v>43838.333333333336</c:v>
                </c:pt>
                <c:pt idx="177">
                  <c:v>43838.375</c:v>
                </c:pt>
                <c:pt idx="178">
                  <c:v>43838.416666666664</c:v>
                </c:pt>
                <c:pt idx="179">
                  <c:v>43838.458333333336</c:v>
                </c:pt>
                <c:pt idx="180">
                  <c:v>43838.5</c:v>
                </c:pt>
                <c:pt idx="181">
                  <c:v>43838.541666666664</c:v>
                </c:pt>
                <c:pt idx="182">
                  <c:v>43838.583333333336</c:v>
                </c:pt>
                <c:pt idx="183">
                  <c:v>43838.625</c:v>
                </c:pt>
                <c:pt idx="184">
                  <c:v>43838.666666666664</c:v>
                </c:pt>
                <c:pt idx="185">
                  <c:v>43838.708333333336</c:v>
                </c:pt>
                <c:pt idx="186">
                  <c:v>43838.75</c:v>
                </c:pt>
                <c:pt idx="187">
                  <c:v>43838.791666666664</c:v>
                </c:pt>
                <c:pt idx="188">
                  <c:v>43838.833333333336</c:v>
                </c:pt>
                <c:pt idx="189">
                  <c:v>43838.875</c:v>
                </c:pt>
                <c:pt idx="190">
                  <c:v>43838.916666666664</c:v>
                </c:pt>
                <c:pt idx="191">
                  <c:v>43838.958333333336</c:v>
                </c:pt>
                <c:pt idx="192">
                  <c:v>43839</c:v>
                </c:pt>
                <c:pt idx="193">
                  <c:v>43839.041666666664</c:v>
                </c:pt>
                <c:pt idx="194">
                  <c:v>43839.083333333336</c:v>
                </c:pt>
                <c:pt idx="195">
                  <c:v>43839.125</c:v>
                </c:pt>
                <c:pt idx="196">
                  <c:v>43839.166666666664</c:v>
                </c:pt>
                <c:pt idx="197">
                  <c:v>43839.208333333336</c:v>
                </c:pt>
                <c:pt idx="198">
                  <c:v>43839.25</c:v>
                </c:pt>
                <c:pt idx="199">
                  <c:v>43839.291666666664</c:v>
                </c:pt>
                <c:pt idx="200">
                  <c:v>43839.333333333336</c:v>
                </c:pt>
                <c:pt idx="201">
                  <c:v>43839.375</c:v>
                </c:pt>
                <c:pt idx="202">
                  <c:v>43839.416666666664</c:v>
                </c:pt>
                <c:pt idx="203">
                  <c:v>43839.458333333336</c:v>
                </c:pt>
                <c:pt idx="204">
                  <c:v>43839.5</c:v>
                </c:pt>
                <c:pt idx="205">
                  <c:v>43839.541666666664</c:v>
                </c:pt>
                <c:pt idx="206">
                  <c:v>43839.583333333336</c:v>
                </c:pt>
                <c:pt idx="207">
                  <c:v>43839.625</c:v>
                </c:pt>
                <c:pt idx="208">
                  <c:v>43839.666666666664</c:v>
                </c:pt>
                <c:pt idx="209">
                  <c:v>43839.708333333336</c:v>
                </c:pt>
                <c:pt idx="210">
                  <c:v>43839.75</c:v>
                </c:pt>
                <c:pt idx="211">
                  <c:v>43839.791666666664</c:v>
                </c:pt>
                <c:pt idx="212">
                  <c:v>43839.833333333336</c:v>
                </c:pt>
                <c:pt idx="213">
                  <c:v>43839.875</c:v>
                </c:pt>
                <c:pt idx="214">
                  <c:v>43839.916666666664</c:v>
                </c:pt>
                <c:pt idx="215">
                  <c:v>43839.958333333336</c:v>
                </c:pt>
                <c:pt idx="216">
                  <c:v>43840</c:v>
                </c:pt>
                <c:pt idx="217">
                  <c:v>43840.041666666664</c:v>
                </c:pt>
                <c:pt idx="218">
                  <c:v>43840.083333333336</c:v>
                </c:pt>
                <c:pt idx="219">
                  <c:v>43840.125</c:v>
                </c:pt>
                <c:pt idx="220">
                  <c:v>43840.166666666664</c:v>
                </c:pt>
                <c:pt idx="221">
                  <c:v>43840.208333333336</c:v>
                </c:pt>
                <c:pt idx="222">
                  <c:v>43840.25</c:v>
                </c:pt>
                <c:pt idx="223">
                  <c:v>43840.291666666664</c:v>
                </c:pt>
                <c:pt idx="224">
                  <c:v>43840.333333333336</c:v>
                </c:pt>
                <c:pt idx="225">
                  <c:v>43840.375</c:v>
                </c:pt>
                <c:pt idx="226">
                  <c:v>43840.416666666664</c:v>
                </c:pt>
                <c:pt idx="227">
                  <c:v>43840.458333333336</c:v>
                </c:pt>
                <c:pt idx="228">
                  <c:v>43840.5</c:v>
                </c:pt>
                <c:pt idx="229">
                  <c:v>43840.541666666664</c:v>
                </c:pt>
                <c:pt idx="230">
                  <c:v>43840.583333333336</c:v>
                </c:pt>
                <c:pt idx="231">
                  <c:v>43840.625</c:v>
                </c:pt>
                <c:pt idx="232">
                  <c:v>43840.666666666664</c:v>
                </c:pt>
                <c:pt idx="233">
                  <c:v>43840.708333333336</c:v>
                </c:pt>
                <c:pt idx="234">
                  <c:v>43840.75</c:v>
                </c:pt>
                <c:pt idx="235">
                  <c:v>43840.791666666664</c:v>
                </c:pt>
                <c:pt idx="236">
                  <c:v>43840.833333333336</c:v>
                </c:pt>
                <c:pt idx="237">
                  <c:v>43840.875</c:v>
                </c:pt>
                <c:pt idx="238">
                  <c:v>43840.916666666664</c:v>
                </c:pt>
                <c:pt idx="239">
                  <c:v>43840.958333333336</c:v>
                </c:pt>
                <c:pt idx="240">
                  <c:v>43841</c:v>
                </c:pt>
                <c:pt idx="241">
                  <c:v>43841.041666666664</c:v>
                </c:pt>
                <c:pt idx="242">
                  <c:v>43841.083333333336</c:v>
                </c:pt>
                <c:pt idx="243">
                  <c:v>43841.125</c:v>
                </c:pt>
                <c:pt idx="244">
                  <c:v>43841.166666666664</c:v>
                </c:pt>
                <c:pt idx="245">
                  <c:v>43841.208333333336</c:v>
                </c:pt>
                <c:pt idx="246">
                  <c:v>43841.25</c:v>
                </c:pt>
                <c:pt idx="247">
                  <c:v>43841.291666666664</c:v>
                </c:pt>
                <c:pt idx="248">
                  <c:v>43841.333333333336</c:v>
                </c:pt>
                <c:pt idx="249">
                  <c:v>43841.375</c:v>
                </c:pt>
                <c:pt idx="250">
                  <c:v>43841.416666666664</c:v>
                </c:pt>
                <c:pt idx="251">
                  <c:v>43841.458333333336</c:v>
                </c:pt>
                <c:pt idx="252">
                  <c:v>43841.5</c:v>
                </c:pt>
                <c:pt idx="253">
                  <c:v>43841.541666666664</c:v>
                </c:pt>
                <c:pt idx="254">
                  <c:v>43841.583333333336</c:v>
                </c:pt>
                <c:pt idx="255">
                  <c:v>43841.625</c:v>
                </c:pt>
                <c:pt idx="256">
                  <c:v>43841.666666666664</c:v>
                </c:pt>
                <c:pt idx="257">
                  <c:v>43841.708333333336</c:v>
                </c:pt>
                <c:pt idx="258">
                  <c:v>43841.75</c:v>
                </c:pt>
                <c:pt idx="259">
                  <c:v>43841.791666666664</c:v>
                </c:pt>
                <c:pt idx="260">
                  <c:v>43841.833333333336</c:v>
                </c:pt>
                <c:pt idx="261">
                  <c:v>43841.875</c:v>
                </c:pt>
                <c:pt idx="262">
                  <c:v>43841.916666666664</c:v>
                </c:pt>
                <c:pt idx="263">
                  <c:v>43841.958333333336</c:v>
                </c:pt>
                <c:pt idx="264">
                  <c:v>43842</c:v>
                </c:pt>
                <c:pt idx="265">
                  <c:v>43842.041666666664</c:v>
                </c:pt>
                <c:pt idx="266">
                  <c:v>43842.083333333336</c:v>
                </c:pt>
                <c:pt idx="267">
                  <c:v>43842.125</c:v>
                </c:pt>
                <c:pt idx="268">
                  <c:v>43842.166666666664</c:v>
                </c:pt>
                <c:pt idx="269">
                  <c:v>43842.208333333336</c:v>
                </c:pt>
                <c:pt idx="270">
                  <c:v>43842.25</c:v>
                </c:pt>
                <c:pt idx="271">
                  <c:v>43842.291666666664</c:v>
                </c:pt>
                <c:pt idx="272">
                  <c:v>43842.333333333336</c:v>
                </c:pt>
                <c:pt idx="273">
                  <c:v>43842.375</c:v>
                </c:pt>
                <c:pt idx="274">
                  <c:v>43842.416666666664</c:v>
                </c:pt>
                <c:pt idx="275">
                  <c:v>43842.458333333336</c:v>
                </c:pt>
                <c:pt idx="276">
                  <c:v>43842.5</c:v>
                </c:pt>
                <c:pt idx="277">
                  <c:v>43842.541666666664</c:v>
                </c:pt>
                <c:pt idx="278">
                  <c:v>43842.583333333336</c:v>
                </c:pt>
                <c:pt idx="279">
                  <c:v>43842.625</c:v>
                </c:pt>
                <c:pt idx="280">
                  <c:v>43842.666666666664</c:v>
                </c:pt>
                <c:pt idx="281">
                  <c:v>43842.708333333336</c:v>
                </c:pt>
                <c:pt idx="282">
                  <c:v>43842.75</c:v>
                </c:pt>
                <c:pt idx="283">
                  <c:v>43842.791666666664</c:v>
                </c:pt>
                <c:pt idx="284">
                  <c:v>43842.833333333336</c:v>
                </c:pt>
                <c:pt idx="285">
                  <c:v>43842.875</c:v>
                </c:pt>
                <c:pt idx="286">
                  <c:v>43842.916666666664</c:v>
                </c:pt>
                <c:pt idx="287">
                  <c:v>43842.958333333336</c:v>
                </c:pt>
                <c:pt idx="288">
                  <c:v>43843</c:v>
                </c:pt>
                <c:pt idx="289">
                  <c:v>43843.041666666664</c:v>
                </c:pt>
                <c:pt idx="290">
                  <c:v>43843.083333333336</c:v>
                </c:pt>
                <c:pt idx="291">
                  <c:v>43843.125</c:v>
                </c:pt>
                <c:pt idx="292">
                  <c:v>43843.166666666664</c:v>
                </c:pt>
                <c:pt idx="293">
                  <c:v>43843.208333333336</c:v>
                </c:pt>
                <c:pt idx="294">
                  <c:v>43843.25</c:v>
                </c:pt>
                <c:pt idx="295">
                  <c:v>43843.291666666664</c:v>
                </c:pt>
                <c:pt idx="296">
                  <c:v>43843.333333333336</c:v>
                </c:pt>
                <c:pt idx="297">
                  <c:v>43843.375</c:v>
                </c:pt>
                <c:pt idx="298">
                  <c:v>43843.416666666664</c:v>
                </c:pt>
                <c:pt idx="299">
                  <c:v>43843.458333333336</c:v>
                </c:pt>
                <c:pt idx="300">
                  <c:v>43843.5</c:v>
                </c:pt>
                <c:pt idx="301">
                  <c:v>43843.541666666664</c:v>
                </c:pt>
                <c:pt idx="302">
                  <c:v>43843.583333333336</c:v>
                </c:pt>
                <c:pt idx="303">
                  <c:v>43843.625</c:v>
                </c:pt>
                <c:pt idx="304">
                  <c:v>43843.666666666664</c:v>
                </c:pt>
                <c:pt idx="305">
                  <c:v>43843.708333333336</c:v>
                </c:pt>
                <c:pt idx="306">
                  <c:v>43843.75</c:v>
                </c:pt>
                <c:pt idx="307">
                  <c:v>43843.791666666664</c:v>
                </c:pt>
                <c:pt idx="308">
                  <c:v>43843.833333333336</c:v>
                </c:pt>
                <c:pt idx="309">
                  <c:v>43843.875</c:v>
                </c:pt>
                <c:pt idx="310">
                  <c:v>43843.916666666664</c:v>
                </c:pt>
                <c:pt idx="311">
                  <c:v>43843.958333333336</c:v>
                </c:pt>
                <c:pt idx="312">
                  <c:v>43844</c:v>
                </c:pt>
                <c:pt idx="313">
                  <c:v>43844.041666666664</c:v>
                </c:pt>
                <c:pt idx="314">
                  <c:v>43844.083333333336</c:v>
                </c:pt>
                <c:pt idx="315">
                  <c:v>43844.125</c:v>
                </c:pt>
                <c:pt idx="316">
                  <c:v>43844.166666666664</c:v>
                </c:pt>
                <c:pt idx="317">
                  <c:v>43844.208333333336</c:v>
                </c:pt>
                <c:pt idx="318">
                  <c:v>43844.25</c:v>
                </c:pt>
                <c:pt idx="319">
                  <c:v>43844.291666666664</c:v>
                </c:pt>
                <c:pt idx="320">
                  <c:v>43844.333333333336</c:v>
                </c:pt>
                <c:pt idx="321">
                  <c:v>43844.375</c:v>
                </c:pt>
                <c:pt idx="322">
                  <c:v>43844.416666666664</c:v>
                </c:pt>
                <c:pt idx="323">
                  <c:v>43844.458333333336</c:v>
                </c:pt>
                <c:pt idx="324">
                  <c:v>43844.5</c:v>
                </c:pt>
                <c:pt idx="325">
                  <c:v>43844.541666666664</c:v>
                </c:pt>
                <c:pt idx="326">
                  <c:v>43844.583333333336</c:v>
                </c:pt>
                <c:pt idx="327">
                  <c:v>43844.625</c:v>
                </c:pt>
                <c:pt idx="328">
                  <c:v>43844.666666666664</c:v>
                </c:pt>
                <c:pt idx="329">
                  <c:v>43844.708333333336</c:v>
                </c:pt>
                <c:pt idx="330">
                  <c:v>43844.75</c:v>
                </c:pt>
                <c:pt idx="331">
                  <c:v>43844.791666666664</c:v>
                </c:pt>
                <c:pt idx="332">
                  <c:v>43844.833333333336</c:v>
                </c:pt>
                <c:pt idx="333">
                  <c:v>43844.875</c:v>
                </c:pt>
                <c:pt idx="334">
                  <c:v>43844.916666666664</c:v>
                </c:pt>
                <c:pt idx="335">
                  <c:v>43844.958333333336</c:v>
                </c:pt>
                <c:pt idx="336" formatCode="General">
                  <c:v>43845</c:v>
                </c:pt>
                <c:pt idx="337" formatCode="General">
                  <c:v>43845.041666666664</c:v>
                </c:pt>
                <c:pt idx="338" formatCode="General">
                  <c:v>43845.083333333336</c:v>
                </c:pt>
                <c:pt idx="339" formatCode="General">
                  <c:v>43845.125</c:v>
                </c:pt>
                <c:pt idx="340" formatCode="General">
                  <c:v>43845.166666666664</c:v>
                </c:pt>
                <c:pt idx="341" formatCode="General">
                  <c:v>43845.208333333336</c:v>
                </c:pt>
                <c:pt idx="342" formatCode="General">
                  <c:v>43845.25</c:v>
                </c:pt>
                <c:pt idx="343" formatCode="General">
                  <c:v>43845.291666666664</c:v>
                </c:pt>
                <c:pt idx="344" formatCode="General">
                  <c:v>43845.333333333336</c:v>
                </c:pt>
                <c:pt idx="345" formatCode="General">
                  <c:v>43845.375</c:v>
                </c:pt>
                <c:pt idx="346" formatCode="General">
                  <c:v>43845.416666666664</c:v>
                </c:pt>
                <c:pt idx="347" formatCode="General">
                  <c:v>43845.458333333336</c:v>
                </c:pt>
                <c:pt idx="348" formatCode="General">
                  <c:v>43845.5</c:v>
                </c:pt>
                <c:pt idx="349" formatCode="General">
                  <c:v>43845.541666666664</c:v>
                </c:pt>
                <c:pt idx="350" formatCode="General">
                  <c:v>43845.583333333336</c:v>
                </c:pt>
                <c:pt idx="351" formatCode="General">
                  <c:v>43845.625</c:v>
                </c:pt>
                <c:pt idx="352" formatCode="General">
                  <c:v>43845.666666666664</c:v>
                </c:pt>
                <c:pt idx="353" formatCode="General">
                  <c:v>43845.708333333336</c:v>
                </c:pt>
                <c:pt idx="354" formatCode="General">
                  <c:v>43845.75</c:v>
                </c:pt>
                <c:pt idx="355" formatCode="General">
                  <c:v>43845.791666666664</c:v>
                </c:pt>
                <c:pt idx="356" formatCode="General">
                  <c:v>43845.833333333336</c:v>
                </c:pt>
                <c:pt idx="357" formatCode="General">
                  <c:v>43845.875</c:v>
                </c:pt>
                <c:pt idx="358" formatCode="General">
                  <c:v>43845.916666666664</c:v>
                </c:pt>
                <c:pt idx="359" formatCode="General">
                  <c:v>43845.958333333336</c:v>
                </c:pt>
              </c:numCache>
            </c:numRef>
          </c:xVal>
          <c:yVal>
            <c:numRef>
              <c:f>[0]!_chartObservations</c:f>
              <c:numCache>
                <c:formatCode>General</c:formatCode>
                <c:ptCount val="360"/>
                <c:pt idx="0">
                  <c:v>0.20200000000000001</c:v>
                </c:pt>
                <c:pt idx="1">
                  <c:v>0.19</c:v>
                </c:pt>
                <c:pt idx="2">
                  <c:v>0.121</c:v>
                </c:pt>
                <c:pt idx="3">
                  <c:v>1.4999999999999999E-2</c:v>
                </c:pt>
                <c:pt idx="4">
                  <c:v>9.8000000000000004E-2</c:v>
                </c:pt>
                <c:pt idx="5">
                  <c:v>0.185</c:v>
                </c:pt>
                <c:pt idx="6">
                  <c:v>0.22</c:v>
                </c:pt>
                <c:pt idx="7">
                  <c:v>0.191</c:v>
                </c:pt>
                <c:pt idx="8">
                  <c:v>0.10299999999999999</c:v>
                </c:pt>
                <c:pt idx="9">
                  <c:v>2.4E-2</c:v>
                </c:pt>
                <c:pt idx="10">
                  <c:v>0.157</c:v>
                </c:pt>
                <c:pt idx="11">
                  <c:v>0.26100000000000001</c:v>
                </c:pt>
                <c:pt idx="12">
                  <c:v>0.308</c:v>
                </c:pt>
                <c:pt idx="13">
                  <c:v>0.28299999999999997</c:v>
                </c:pt>
                <c:pt idx="14">
                  <c:v>0.189</c:v>
                </c:pt>
                <c:pt idx="15">
                  <c:v>4.7E-2</c:v>
                </c:pt>
                <c:pt idx="16">
                  <c:v>0.109</c:v>
                </c:pt>
                <c:pt idx="17">
                  <c:v>0.24099999999999999</c:v>
                </c:pt>
                <c:pt idx="18">
                  <c:v>0.315</c:v>
                </c:pt>
                <c:pt idx="19">
                  <c:v>0.314</c:v>
                </c:pt>
                <c:pt idx="20">
                  <c:v>0.23599999999999999</c:v>
                </c:pt>
                <c:pt idx="21">
                  <c:v>0.10199999999999999</c:v>
                </c:pt>
                <c:pt idx="22">
                  <c:v>5.5E-2</c:v>
                </c:pt>
                <c:pt idx="23">
                  <c:v>0.19500000000000001</c:v>
                </c:pt>
                <c:pt idx="24">
                  <c:v>0.28399999999999997</c:v>
                </c:pt>
                <c:pt idx="25">
                  <c:v>0.29799999999999999</c:v>
                </c:pt>
                <c:pt idx="26">
                  <c:v>0.23400000000000001</c:v>
                </c:pt>
                <c:pt idx="27">
                  <c:v>0.11</c:v>
                </c:pt>
                <c:pt idx="28">
                  <c:v>4.2999999999999997E-2</c:v>
                </c:pt>
                <c:pt idx="29">
                  <c:v>0.184</c:v>
                </c:pt>
                <c:pt idx="30">
                  <c:v>0.27600000000000002</c:v>
                </c:pt>
                <c:pt idx="31">
                  <c:v>0.29599999999999999</c:v>
                </c:pt>
                <c:pt idx="32">
                  <c:v>0.23699999999999999</c:v>
                </c:pt>
                <c:pt idx="33">
                  <c:v>0.115</c:v>
                </c:pt>
                <c:pt idx="34">
                  <c:v>3.6999999999999998E-2</c:v>
                </c:pt>
                <c:pt idx="35">
                  <c:v>0.18099999999999999</c:v>
                </c:pt>
                <c:pt idx="36">
                  <c:v>0.27600000000000002</c:v>
                </c:pt>
                <c:pt idx="37">
                  <c:v>0.29799999999999999</c:v>
                </c:pt>
                <c:pt idx="38">
                  <c:v>0.23799999999999999</c:v>
                </c:pt>
                <c:pt idx="39">
                  <c:v>0.111</c:v>
                </c:pt>
                <c:pt idx="40">
                  <c:v>4.9000000000000002E-2</c:v>
                </c:pt>
                <c:pt idx="41">
                  <c:v>0.20300000000000001</c:v>
                </c:pt>
                <c:pt idx="42">
                  <c:v>0.307</c:v>
                </c:pt>
                <c:pt idx="43">
                  <c:v>0.33400000000000002</c:v>
                </c:pt>
                <c:pt idx="44">
                  <c:v>0.27400000000000002</c:v>
                </c:pt>
                <c:pt idx="45">
                  <c:v>0.13900000000000001</c:v>
                </c:pt>
                <c:pt idx="46">
                  <c:v>3.6999999999999998E-2</c:v>
                </c:pt>
                <c:pt idx="47">
                  <c:v>0.21299999999999999</c:v>
                </c:pt>
                <c:pt idx="48">
                  <c:v>0.34200000000000003</c:v>
                </c:pt>
                <c:pt idx="49">
                  <c:v>0.39400000000000002</c:v>
                </c:pt>
                <c:pt idx="50">
                  <c:v>0.35299999999999998</c:v>
                </c:pt>
                <c:pt idx="51">
                  <c:v>0.22900000000000001</c:v>
                </c:pt>
                <c:pt idx="52">
                  <c:v>5.2999999999999999E-2</c:v>
                </c:pt>
                <c:pt idx="53">
                  <c:v>0.13200000000000001</c:v>
                </c:pt>
                <c:pt idx="54">
                  <c:v>0.28100000000000003</c:v>
                </c:pt>
                <c:pt idx="55">
                  <c:v>0.35699999999999998</c:v>
                </c:pt>
                <c:pt idx="56">
                  <c:v>0.34399999999999997</c:v>
                </c:pt>
                <c:pt idx="57">
                  <c:v>0.248</c:v>
                </c:pt>
                <c:pt idx="58">
                  <c:v>9.6000000000000002E-2</c:v>
                </c:pt>
                <c:pt idx="59">
                  <c:v>7.0000000000000007E-2</c:v>
                </c:pt>
                <c:pt idx="60">
                  <c:v>0.20599999999999999</c:v>
                </c:pt>
                <c:pt idx="61">
                  <c:v>0.27400000000000002</c:v>
                </c:pt>
                <c:pt idx="62">
                  <c:v>0.25700000000000001</c:v>
                </c:pt>
                <c:pt idx="63">
                  <c:v>0.16</c:v>
                </c:pt>
                <c:pt idx="64">
                  <c:v>8.0000000000000002E-3</c:v>
                </c:pt>
                <c:pt idx="65">
                  <c:v>0.155</c:v>
                </c:pt>
                <c:pt idx="66">
                  <c:v>0.28399999999999997</c:v>
                </c:pt>
                <c:pt idx="67">
                  <c:v>0.34200000000000003</c:v>
                </c:pt>
                <c:pt idx="68">
                  <c:v>0.308</c:v>
                </c:pt>
                <c:pt idx="69">
                  <c:v>0.186</c:v>
                </c:pt>
                <c:pt idx="70">
                  <c:v>3.0000000000000001E-3</c:v>
                </c:pt>
                <c:pt idx="71">
                  <c:v>0.19800000000000001</c:v>
                </c:pt>
                <c:pt idx="72">
                  <c:v>0.36599999999999999</c:v>
                </c:pt>
                <c:pt idx="73">
                  <c:v>0.46100000000000002</c:v>
                </c:pt>
                <c:pt idx="74">
                  <c:v>0.45600000000000002</c:v>
                </c:pt>
                <c:pt idx="75">
                  <c:v>0.35299999999999998</c:v>
                </c:pt>
                <c:pt idx="76">
                  <c:v>0.17399999999999999</c:v>
                </c:pt>
                <c:pt idx="77">
                  <c:v>3.7999999999999999E-2</c:v>
                </c:pt>
                <c:pt idx="78">
                  <c:v>0.23200000000000001</c:v>
                </c:pt>
                <c:pt idx="79">
                  <c:v>0.36499999999999999</c:v>
                </c:pt>
                <c:pt idx="80">
                  <c:v>0.40699999999999997</c:v>
                </c:pt>
                <c:pt idx="81">
                  <c:v>0.35399999999999998</c:v>
                </c:pt>
                <c:pt idx="82">
                  <c:v>0.223</c:v>
                </c:pt>
                <c:pt idx="83">
                  <c:v>5.2999999999999999E-2</c:v>
                </c:pt>
                <c:pt idx="84">
                  <c:v>0.107</c:v>
                </c:pt>
                <c:pt idx="85">
                  <c:v>0.216</c:v>
                </c:pt>
                <c:pt idx="86">
                  <c:v>0.24399999999999999</c:v>
                </c:pt>
                <c:pt idx="87">
                  <c:v>0.185</c:v>
                </c:pt>
                <c:pt idx="88">
                  <c:v>5.6000000000000001E-2</c:v>
                </c:pt>
                <c:pt idx="89">
                  <c:v>0.104</c:v>
                </c:pt>
                <c:pt idx="90">
                  <c:v>0.248</c:v>
                </c:pt>
                <c:pt idx="91">
                  <c:v>0.33300000000000002</c:v>
                </c:pt>
                <c:pt idx="92">
                  <c:v>0.33</c:v>
                </c:pt>
                <c:pt idx="93">
                  <c:v>0.23100000000000001</c:v>
                </c:pt>
                <c:pt idx="94">
                  <c:v>5.7000000000000002E-2</c:v>
                </c:pt>
                <c:pt idx="95">
                  <c:v>0.154</c:v>
                </c:pt>
                <c:pt idx="96">
                  <c:v>0.35099999999999998</c:v>
                </c:pt>
                <c:pt idx="97">
                  <c:v>0.48699999999999999</c:v>
                </c:pt>
                <c:pt idx="98">
                  <c:v>0.52700000000000002</c:v>
                </c:pt>
                <c:pt idx="99">
                  <c:v>0.46</c:v>
                </c:pt>
                <c:pt idx="100">
                  <c:v>0.29899999999999999</c:v>
                </c:pt>
                <c:pt idx="101">
                  <c:v>8.3000000000000004E-2</c:v>
                </c:pt>
                <c:pt idx="102">
                  <c:v>0.14000000000000001</c:v>
                </c:pt>
                <c:pt idx="103">
                  <c:v>0.32</c:v>
                </c:pt>
                <c:pt idx="104">
                  <c:v>0.41699999999999998</c:v>
                </c:pt>
                <c:pt idx="105">
                  <c:v>0.41599999999999998</c:v>
                </c:pt>
                <c:pt idx="106">
                  <c:v>0.32300000000000001</c:v>
                </c:pt>
                <c:pt idx="107">
                  <c:v>0.17100000000000001</c:v>
                </c:pt>
                <c:pt idx="108">
                  <c:v>4.0000000000000001E-3</c:v>
                </c:pt>
                <c:pt idx="109">
                  <c:v>0.13200000000000001</c:v>
                </c:pt>
                <c:pt idx="110">
                  <c:v>0.19900000000000001</c:v>
                </c:pt>
                <c:pt idx="111">
                  <c:v>0.18099999999999999</c:v>
                </c:pt>
                <c:pt idx="112">
                  <c:v>8.5000000000000006E-2</c:v>
                </c:pt>
                <c:pt idx="113">
                  <c:v>5.7000000000000002E-2</c:v>
                </c:pt>
                <c:pt idx="114">
                  <c:v>0.20399999999999999</c:v>
                </c:pt>
                <c:pt idx="115">
                  <c:v>0.308</c:v>
                </c:pt>
                <c:pt idx="116">
                  <c:v>0.33400000000000002</c:v>
                </c:pt>
                <c:pt idx="117">
                  <c:v>0.26700000000000002</c:v>
                </c:pt>
                <c:pt idx="118">
                  <c:v>0.114</c:v>
                </c:pt>
                <c:pt idx="119">
                  <c:v>9.1999999999999998E-2</c:v>
                </c:pt>
                <c:pt idx="120">
                  <c:v>0.30499999999999999</c:v>
                </c:pt>
                <c:pt idx="121">
                  <c:v>0.47399999999999998</c:v>
                </c:pt>
                <c:pt idx="122">
                  <c:v>0.55700000000000005</c:v>
                </c:pt>
                <c:pt idx="123">
                  <c:v>0.53400000000000003</c:v>
                </c:pt>
                <c:pt idx="124">
                  <c:v>0.40799999999999997</c:v>
                </c:pt>
                <c:pt idx="125">
                  <c:v>0.20799999999999999</c:v>
                </c:pt>
                <c:pt idx="126">
                  <c:v>2.3E-2</c:v>
                </c:pt>
                <c:pt idx="127">
                  <c:v>0.23200000000000001</c:v>
                </c:pt>
                <c:pt idx="128">
                  <c:v>0.376</c:v>
                </c:pt>
                <c:pt idx="129">
                  <c:v>0.42699999999999999</c:v>
                </c:pt>
                <c:pt idx="130">
                  <c:v>0.38300000000000001</c:v>
                </c:pt>
                <c:pt idx="131">
                  <c:v>0.26500000000000001</c:v>
                </c:pt>
                <c:pt idx="132">
                  <c:v>0.11</c:v>
                </c:pt>
                <c:pt idx="133">
                  <c:v>3.4000000000000002E-2</c:v>
                </c:pt>
                <c:pt idx="134">
                  <c:v>0.128</c:v>
                </c:pt>
                <c:pt idx="135">
                  <c:v>0.14799999999999999</c:v>
                </c:pt>
                <c:pt idx="136">
                  <c:v>8.8999999999999996E-2</c:v>
                </c:pt>
                <c:pt idx="137">
                  <c:v>2.5999999999999999E-2</c:v>
                </c:pt>
                <c:pt idx="138">
                  <c:v>0.16200000000000001</c:v>
                </c:pt>
                <c:pt idx="139">
                  <c:v>0.27400000000000002</c:v>
                </c:pt>
                <c:pt idx="140">
                  <c:v>0.32300000000000001</c:v>
                </c:pt>
                <c:pt idx="141">
                  <c:v>0.28599999999999998</c:v>
                </c:pt>
                <c:pt idx="142">
                  <c:v>0.16200000000000001</c:v>
                </c:pt>
                <c:pt idx="143">
                  <c:v>2.7E-2</c:v>
                </c:pt>
                <c:pt idx="144">
                  <c:v>0.24</c:v>
                </c:pt>
                <c:pt idx="145">
                  <c:v>0.42799999999999999</c:v>
                </c:pt>
                <c:pt idx="146">
                  <c:v>0.54800000000000004</c:v>
                </c:pt>
                <c:pt idx="147">
                  <c:v>0.56999999999999995</c:v>
                </c:pt>
                <c:pt idx="148">
                  <c:v>0.48799999999999999</c:v>
                </c:pt>
                <c:pt idx="149">
                  <c:v>0.32</c:v>
                </c:pt>
                <c:pt idx="150">
                  <c:v>0.10199999999999999</c:v>
                </c:pt>
                <c:pt idx="151">
                  <c:v>0.11700000000000001</c:v>
                </c:pt>
                <c:pt idx="152">
                  <c:v>0.29299999999999998</c:v>
                </c:pt>
                <c:pt idx="153">
                  <c:v>0.39</c:v>
                </c:pt>
                <c:pt idx="154">
                  <c:v>0.39700000000000002</c:v>
                </c:pt>
                <c:pt idx="155">
                  <c:v>0.32300000000000001</c:v>
                </c:pt>
                <c:pt idx="156">
                  <c:v>0.19800000000000001</c:v>
                </c:pt>
                <c:pt idx="157">
                  <c:v>6.2E-2</c:v>
                </c:pt>
                <c:pt idx="158">
                  <c:v>4.3999999999999997E-2</c:v>
                </c:pt>
                <c:pt idx="159">
                  <c:v>0.09</c:v>
                </c:pt>
                <c:pt idx="160">
                  <c:v>6.6000000000000003E-2</c:v>
                </c:pt>
                <c:pt idx="161">
                  <c:v>1.7999999999999999E-2</c:v>
                </c:pt>
                <c:pt idx="162">
                  <c:v>0.13300000000000001</c:v>
                </c:pt>
                <c:pt idx="163">
                  <c:v>0.24099999999999999</c:v>
                </c:pt>
                <c:pt idx="164">
                  <c:v>0.30299999999999999</c:v>
                </c:pt>
                <c:pt idx="165">
                  <c:v>0.29099999999999998</c:v>
                </c:pt>
                <c:pt idx="166">
                  <c:v>0.19700000000000001</c:v>
                </c:pt>
                <c:pt idx="167">
                  <c:v>3.3000000000000002E-2</c:v>
                </c:pt>
                <c:pt idx="168">
                  <c:v>0.16800000000000001</c:v>
                </c:pt>
                <c:pt idx="169">
                  <c:v>0.36299999999999999</c:v>
                </c:pt>
                <c:pt idx="170">
                  <c:v>0.50900000000000001</c:v>
                </c:pt>
                <c:pt idx="171">
                  <c:v>0.57199999999999995</c:v>
                </c:pt>
                <c:pt idx="172">
                  <c:v>0.53600000000000003</c:v>
                </c:pt>
                <c:pt idx="173">
                  <c:v>0.41</c:v>
                </c:pt>
                <c:pt idx="174">
                  <c:v>0.221</c:v>
                </c:pt>
                <c:pt idx="175">
                  <c:v>8.9999999999999993E-3</c:v>
                </c:pt>
                <c:pt idx="176">
                  <c:v>0.18099999999999999</c:v>
                </c:pt>
                <c:pt idx="177">
                  <c:v>0.313</c:v>
                </c:pt>
                <c:pt idx="178">
                  <c:v>0.36599999999999999</c:v>
                </c:pt>
                <c:pt idx="179">
                  <c:v>0.34100000000000003</c:v>
                </c:pt>
                <c:pt idx="180">
                  <c:v>0.25600000000000001</c:v>
                </c:pt>
                <c:pt idx="181">
                  <c:v>0.14399999999999999</c:v>
                </c:pt>
                <c:pt idx="182">
                  <c:v>4.2999999999999997E-2</c:v>
                </c:pt>
                <c:pt idx="183">
                  <c:v>1.7999999999999999E-2</c:v>
                </c:pt>
                <c:pt idx="184">
                  <c:v>2.1000000000000001E-2</c:v>
                </c:pt>
                <c:pt idx="185">
                  <c:v>3.3000000000000002E-2</c:v>
                </c:pt>
                <c:pt idx="186">
                  <c:v>0.123</c:v>
                </c:pt>
                <c:pt idx="187">
                  <c:v>0.218</c:v>
                </c:pt>
                <c:pt idx="188">
                  <c:v>0.28299999999999997</c:v>
                </c:pt>
                <c:pt idx="189">
                  <c:v>0.28899999999999998</c:v>
                </c:pt>
                <c:pt idx="190">
                  <c:v>0.223</c:v>
                </c:pt>
                <c:pt idx="191">
                  <c:v>8.7999999999999995E-2</c:v>
                </c:pt>
                <c:pt idx="192">
                  <c:v>9.4E-2</c:v>
                </c:pt>
                <c:pt idx="193">
                  <c:v>0.28499999999999998</c:v>
                </c:pt>
                <c:pt idx="194">
                  <c:v>0.44600000000000001</c:v>
                </c:pt>
                <c:pt idx="195">
                  <c:v>0.54200000000000004</c:v>
                </c:pt>
                <c:pt idx="196">
                  <c:v>0.55200000000000005</c:v>
                </c:pt>
                <c:pt idx="197">
                  <c:v>0.47399999999999998</c:v>
                </c:pt>
                <c:pt idx="198">
                  <c:v>0.32600000000000001</c:v>
                </c:pt>
                <c:pt idx="199">
                  <c:v>0.13800000000000001</c:v>
                </c:pt>
                <c:pt idx="200">
                  <c:v>5.0999999999999997E-2</c:v>
                </c:pt>
                <c:pt idx="201">
                  <c:v>0.20399999999999999</c:v>
                </c:pt>
                <c:pt idx="202">
                  <c:v>0.29499999999999998</c:v>
                </c:pt>
                <c:pt idx="203">
                  <c:v>0.318</c:v>
                </c:pt>
                <c:pt idx="204">
                  <c:v>0.27900000000000003</c:v>
                </c:pt>
                <c:pt idx="205">
                  <c:v>0.20300000000000001</c:v>
                </c:pt>
                <c:pt idx="206">
                  <c:v>0.12</c:v>
                </c:pt>
                <c:pt idx="207">
                  <c:v>5.8000000000000003E-2</c:v>
                </c:pt>
                <c:pt idx="208">
                  <c:v>3.6999999999999998E-2</c:v>
                </c:pt>
                <c:pt idx="209">
                  <c:v>6.4000000000000001E-2</c:v>
                </c:pt>
                <c:pt idx="210">
                  <c:v>0.127</c:v>
                </c:pt>
                <c:pt idx="211">
                  <c:v>0.20399999999999999</c:v>
                </c:pt>
                <c:pt idx="212">
                  <c:v>0.26500000000000001</c:v>
                </c:pt>
                <c:pt idx="213">
                  <c:v>0.28399999999999997</c:v>
                </c:pt>
                <c:pt idx="214">
                  <c:v>0.24199999999999999</c:v>
                </c:pt>
                <c:pt idx="215">
                  <c:v>0.13700000000000001</c:v>
                </c:pt>
                <c:pt idx="216">
                  <c:v>1.7000000000000001E-2</c:v>
                </c:pt>
                <c:pt idx="217">
                  <c:v>0.193</c:v>
                </c:pt>
                <c:pt idx="218">
                  <c:v>0.35899999999999999</c:v>
                </c:pt>
                <c:pt idx="219">
                  <c:v>0.48</c:v>
                </c:pt>
                <c:pt idx="220">
                  <c:v>0.53200000000000003</c:v>
                </c:pt>
                <c:pt idx="221">
                  <c:v>0.50600000000000001</c:v>
                </c:pt>
                <c:pt idx="222">
                  <c:v>0.40699999999999997</c:v>
                </c:pt>
                <c:pt idx="223">
                  <c:v>0.25700000000000001</c:v>
                </c:pt>
                <c:pt idx="224">
                  <c:v>8.6999999999999994E-2</c:v>
                </c:pt>
                <c:pt idx="225">
                  <c:v>7.0000000000000007E-2</c:v>
                </c:pt>
                <c:pt idx="226">
                  <c:v>0.189</c:v>
                </c:pt>
                <c:pt idx="227">
                  <c:v>0.254</c:v>
                </c:pt>
                <c:pt idx="228">
                  <c:v>0.26400000000000001</c:v>
                </c:pt>
                <c:pt idx="229">
                  <c:v>0.23100000000000001</c:v>
                </c:pt>
                <c:pt idx="230">
                  <c:v>0.17699999999999999</c:v>
                </c:pt>
                <c:pt idx="231">
                  <c:v>0.126</c:v>
                </c:pt>
                <c:pt idx="232">
                  <c:v>9.8000000000000004E-2</c:v>
                </c:pt>
                <c:pt idx="233">
                  <c:v>0.10299999999999999</c:v>
                </c:pt>
                <c:pt idx="234">
                  <c:v>0.13900000000000001</c:v>
                </c:pt>
                <c:pt idx="235">
                  <c:v>0.193</c:v>
                </c:pt>
                <c:pt idx="236">
                  <c:v>0.24299999999999999</c:v>
                </c:pt>
                <c:pt idx="237">
                  <c:v>0.26800000000000002</c:v>
                </c:pt>
                <c:pt idx="238">
                  <c:v>0.249</c:v>
                </c:pt>
                <c:pt idx="239">
                  <c:v>0.17799999999999999</c:v>
                </c:pt>
                <c:pt idx="240">
                  <c:v>0.06</c:v>
                </c:pt>
                <c:pt idx="241">
                  <c:v>0.09</c:v>
                </c:pt>
                <c:pt idx="242">
                  <c:v>0.245</c:v>
                </c:pt>
                <c:pt idx="243">
                  <c:v>0.378</c:v>
                </c:pt>
                <c:pt idx="244">
                  <c:v>0.46500000000000002</c:v>
                </c:pt>
                <c:pt idx="245">
                  <c:v>0.48899999999999999</c:v>
                </c:pt>
                <c:pt idx="246">
                  <c:v>0.44800000000000001</c:v>
                </c:pt>
                <c:pt idx="247">
                  <c:v>0.35199999999999998</c:v>
                </c:pt>
                <c:pt idx="248">
                  <c:v>0.219</c:v>
                </c:pt>
                <c:pt idx="249">
                  <c:v>7.4999999999999997E-2</c:v>
                </c:pt>
                <c:pt idx="250">
                  <c:v>5.5E-2</c:v>
                </c:pt>
                <c:pt idx="251">
                  <c:v>0.153</c:v>
                </c:pt>
                <c:pt idx="252">
                  <c:v>0.20899999999999999</c:v>
                </c:pt>
                <c:pt idx="253">
                  <c:v>0.224</c:v>
                </c:pt>
                <c:pt idx="254">
                  <c:v>0.20899999999999999</c:v>
                </c:pt>
                <c:pt idx="255">
                  <c:v>0.18</c:v>
                </c:pt>
                <c:pt idx="256">
                  <c:v>0.153</c:v>
                </c:pt>
                <c:pt idx="257">
                  <c:v>0.14099999999999999</c:v>
                </c:pt>
                <c:pt idx="258">
                  <c:v>0.15</c:v>
                </c:pt>
                <c:pt idx="259">
                  <c:v>0.17499999999999999</c:v>
                </c:pt>
                <c:pt idx="260">
                  <c:v>0.20699999999999999</c:v>
                </c:pt>
                <c:pt idx="261">
                  <c:v>0.23</c:v>
                </c:pt>
                <c:pt idx="262">
                  <c:v>0.22900000000000001</c:v>
                </c:pt>
                <c:pt idx="263">
                  <c:v>0.19400000000000001</c:v>
                </c:pt>
                <c:pt idx="264">
                  <c:v>0.12</c:v>
                </c:pt>
                <c:pt idx="265">
                  <c:v>1.4E-2</c:v>
                </c:pt>
                <c:pt idx="266">
                  <c:v>0.111</c:v>
                </c:pt>
                <c:pt idx="267">
                  <c:v>0.23599999999999999</c:v>
                </c:pt>
                <c:pt idx="268">
                  <c:v>0.34100000000000003</c:v>
                </c:pt>
                <c:pt idx="269">
                  <c:v>0.40799999999999997</c:v>
                </c:pt>
                <c:pt idx="270">
                  <c:v>0.42599999999999999</c:v>
                </c:pt>
                <c:pt idx="271">
                  <c:v>0.39400000000000002</c:v>
                </c:pt>
                <c:pt idx="272">
                  <c:v>0.317</c:v>
                </c:pt>
                <c:pt idx="273">
                  <c:v>0.21</c:v>
                </c:pt>
                <c:pt idx="274">
                  <c:v>9.0999999999999998E-2</c:v>
                </c:pt>
                <c:pt idx="275">
                  <c:v>2.3E-2</c:v>
                </c:pt>
                <c:pt idx="276">
                  <c:v>0.11600000000000001</c:v>
                </c:pt>
                <c:pt idx="277">
                  <c:v>0.17899999999999999</c:v>
                </c:pt>
                <c:pt idx="278">
                  <c:v>0.21099999999999999</c:v>
                </c:pt>
                <c:pt idx="279">
                  <c:v>0.214</c:v>
                </c:pt>
                <c:pt idx="280">
                  <c:v>0.2</c:v>
                </c:pt>
                <c:pt idx="281">
                  <c:v>0.17799999999999999</c:v>
                </c:pt>
                <c:pt idx="282">
                  <c:v>0.159</c:v>
                </c:pt>
                <c:pt idx="283">
                  <c:v>0.14899999999999999</c:v>
                </c:pt>
                <c:pt idx="284">
                  <c:v>0.15</c:v>
                </c:pt>
                <c:pt idx="285">
                  <c:v>0.157</c:v>
                </c:pt>
                <c:pt idx="286">
                  <c:v>0.16300000000000001</c:v>
                </c:pt>
                <c:pt idx="287">
                  <c:v>0.158</c:v>
                </c:pt>
                <c:pt idx="288">
                  <c:v>0.13500000000000001</c:v>
                </c:pt>
                <c:pt idx="289">
                  <c:v>8.7999999999999995E-2</c:v>
                </c:pt>
                <c:pt idx="290">
                  <c:v>1.7999999999999999E-2</c:v>
                </c:pt>
                <c:pt idx="291">
                  <c:v>7.0999999999999994E-2</c:v>
                </c:pt>
                <c:pt idx="292">
                  <c:v>0.16600000000000001</c:v>
                </c:pt>
                <c:pt idx="293">
                  <c:v>0.255</c:v>
                </c:pt>
                <c:pt idx="294">
                  <c:v>0.32200000000000001</c:v>
                </c:pt>
                <c:pt idx="295">
                  <c:v>0.35699999999999998</c:v>
                </c:pt>
                <c:pt idx="296">
                  <c:v>0.35</c:v>
                </c:pt>
                <c:pt idx="297">
                  <c:v>0.30299999999999999</c:v>
                </c:pt>
                <c:pt idx="298">
                  <c:v>0.221</c:v>
                </c:pt>
                <c:pt idx="299">
                  <c:v>0.115</c:v>
                </c:pt>
                <c:pt idx="300">
                  <c:v>3.0000000000000001E-3</c:v>
                </c:pt>
                <c:pt idx="301">
                  <c:v>0.1</c:v>
                </c:pt>
                <c:pt idx="302">
                  <c:v>0.18</c:v>
                </c:pt>
                <c:pt idx="303">
                  <c:v>0.22600000000000001</c:v>
                </c:pt>
                <c:pt idx="304">
                  <c:v>0.23699999999999999</c:v>
                </c:pt>
                <c:pt idx="305">
                  <c:v>0.217</c:v>
                </c:pt>
                <c:pt idx="306">
                  <c:v>0.17499999999999999</c:v>
                </c:pt>
                <c:pt idx="307">
                  <c:v>0.126</c:v>
                </c:pt>
                <c:pt idx="308">
                  <c:v>8.2000000000000003E-2</c:v>
                </c:pt>
                <c:pt idx="309">
                  <c:v>5.2999999999999999E-2</c:v>
                </c:pt>
                <c:pt idx="310">
                  <c:v>4.4999999999999998E-2</c:v>
                </c:pt>
                <c:pt idx="311">
                  <c:v>5.5E-2</c:v>
                </c:pt>
                <c:pt idx="312">
                  <c:v>7.4999999999999997E-2</c:v>
                </c:pt>
                <c:pt idx="313">
                  <c:v>9.2999999999999999E-2</c:v>
                </c:pt>
                <c:pt idx="314">
                  <c:v>9.7000000000000003E-2</c:v>
                </c:pt>
                <c:pt idx="315">
                  <c:v>7.5999999999999998E-2</c:v>
                </c:pt>
                <c:pt idx="316">
                  <c:v>2.7E-2</c:v>
                </c:pt>
                <c:pt idx="317">
                  <c:v>4.8000000000000001E-2</c:v>
                </c:pt>
                <c:pt idx="318">
                  <c:v>0.13800000000000001</c:v>
                </c:pt>
                <c:pt idx="319">
                  <c:v>0.22500000000000001</c:v>
                </c:pt>
                <c:pt idx="320">
                  <c:v>0.28999999999999998</c:v>
                </c:pt>
                <c:pt idx="321">
                  <c:v>0.31900000000000001</c:v>
                </c:pt>
                <c:pt idx="322">
                  <c:v>0.3</c:v>
                </c:pt>
                <c:pt idx="323">
                  <c:v>0.23300000000000001</c:v>
                </c:pt>
                <c:pt idx="324">
                  <c:v>0.128</c:v>
                </c:pt>
                <c:pt idx="325">
                  <c:v>3.0000000000000001E-3</c:v>
                </c:pt>
                <c:pt idx="326">
                  <c:v>0.11799999999999999</c:v>
                </c:pt>
                <c:pt idx="327">
                  <c:v>0.21199999999999999</c:v>
                </c:pt>
                <c:pt idx="328">
                  <c:v>0.26200000000000001</c:v>
                </c:pt>
                <c:pt idx="329">
                  <c:v>0.26</c:v>
                </c:pt>
                <c:pt idx="330">
                  <c:v>0.20899999999999999</c:v>
                </c:pt>
                <c:pt idx="331">
                  <c:v>0.124</c:v>
                </c:pt>
                <c:pt idx="332">
                  <c:v>2.8000000000000001E-2</c:v>
                </c:pt>
                <c:pt idx="333">
                  <c:v>5.6000000000000001E-2</c:v>
                </c:pt>
                <c:pt idx="334">
                  <c:v>0.106</c:v>
                </c:pt>
                <c:pt idx="335">
                  <c:v>0.111</c:v>
                </c:pt>
                <c:pt idx="336">
                  <c:v>7.1999999999999995E-2</c:v>
                </c:pt>
                <c:pt idx="337">
                  <c:v>0</c:v>
                </c:pt>
                <c:pt idx="338">
                  <c:v>8.2000000000000003E-2</c:v>
                </c:pt>
                <c:pt idx="339">
                  <c:v>0.15</c:v>
                </c:pt>
                <c:pt idx="340">
                  <c:v>0.182</c:v>
                </c:pt>
                <c:pt idx="341">
                  <c:v>0.16300000000000001</c:v>
                </c:pt>
                <c:pt idx="342">
                  <c:v>9.4E-2</c:v>
                </c:pt>
                <c:pt idx="343">
                  <c:v>1.2999999999999999E-2</c:v>
                </c:pt>
                <c:pt idx="344">
                  <c:v>0.13200000000000001</c:v>
                </c:pt>
                <c:pt idx="345">
                  <c:v>0.23499999999999999</c:v>
                </c:pt>
                <c:pt idx="346">
                  <c:v>0.29499999999999998</c:v>
                </c:pt>
                <c:pt idx="347">
                  <c:v>0.29399999999999998</c:v>
                </c:pt>
                <c:pt idx="348">
                  <c:v>0.22900000000000001</c:v>
                </c:pt>
                <c:pt idx="349">
                  <c:v>0.111</c:v>
                </c:pt>
                <c:pt idx="350">
                  <c:v>3.3000000000000002E-2</c:v>
                </c:pt>
                <c:pt idx="351">
                  <c:v>0.17100000000000001</c:v>
                </c:pt>
                <c:pt idx="352">
                  <c:v>0.26900000000000002</c:v>
                </c:pt>
                <c:pt idx="353">
                  <c:v>0.30299999999999999</c:v>
                </c:pt>
                <c:pt idx="354">
                  <c:v>0.26400000000000001</c:v>
                </c:pt>
                <c:pt idx="355">
                  <c:v>0.161</c:v>
                </c:pt>
                <c:pt idx="356">
                  <c:v>1.7000000000000001E-2</c:v>
                </c:pt>
                <c:pt idx="357">
                  <c:v>0.13100000000000001</c:v>
                </c:pt>
                <c:pt idx="358">
                  <c:v>0.247</c:v>
                </c:pt>
                <c:pt idx="359">
                  <c:v>0.30199999999999999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2-43C8-919C-9F6285637264}"/>
            </c:ext>
          </c:extLst>
        </c:ser>
        <c:ser>
          <c:idx val="1"/>
          <c:order val="1"/>
          <c:tx>
            <c:strRef>
              <c:f>Calculation!$O$2</c:f>
              <c:strCache>
                <c:ptCount val="1"/>
                <c:pt idx="0">
                  <c:v>Calculation
(calc)</c:v>
                </c:pt>
              </c:strCache>
            </c:strRef>
          </c:tx>
          <c:spPr>
            <a:ln w="12700">
              <a:prstDash val="solid"/>
            </a:ln>
          </c:spPr>
          <c:marker>
            <c:symbol val="circle"/>
            <c:size val="3"/>
            <c:spPr>
              <a:ln>
                <a:prstDash val="solid"/>
              </a:ln>
            </c:spPr>
          </c:marker>
          <c:xVal>
            <c:numRef>
              <c:f>[0]!_chartDate</c:f>
              <c:numCache>
                <c:formatCode>d\-mmm\-yy\ hh:mm</c:formatCode>
                <c:ptCount val="360"/>
                <c:pt idx="0">
                  <c:v>43831</c:v>
                </c:pt>
                <c:pt idx="1">
                  <c:v>43831.041666666664</c:v>
                </c:pt>
                <c:pt idx="2">
                  <c:v>43831.083333333336</c:v>
                </c:pt>
                <c:pt idx="3">
                  <c:v>43831.125</c:v>
                </c:pt>
                <c:pt idx="4">
                  <c:v>43831.166666666664</c:v>
                </c:pt>
                <c:pt idx="5">
                  <c:v>43831.208333333336</c:v>
                </c:pt>
                <c:pt idx="6">
                  <c:v>43831.25</c:v>
                </c:pt>
                <c:pt idx="7">
                  <c:v>43831.291666666664</c:v>
                </c:pt>
                <c:pt idx="8">
                  <c:v>43831.333333333336</c:v>
                </c:pt>
                <c:pt idx="9">
                  <c:v>43831.375</c:v>
                </c:pt>
                <c:pt idx="10">
                  <c:v>43831.416666666664</c:v>
                </c:pt>
                <c:pt idx="11">
                  <c:v>43831.458333333336</c:v>
                </c:pt>
                <c:pt idx="12">
                  <c:v>43831.5</c:v>
                </c:pt>
                <c:pt idx="13">
                  <c:v>43831.541666666664</c:v>
                </c:pt>
                <c:pt idx="14">
                  <c:v>43831.583333333336</c:v>
                </c:pt>
                <c:pt idx="15">
                  <c:v>43831.625</c:v>
                </c:pt>
                <c:pt idx="16">
                  <c:v>43831.666666666664</c:v>
                </c:pt>
                <c:pt idx="17">
                  <c:v>43831.708333333336</c:v>
                </c:pt>
                <c:pt idx="18">
                  <c:v>43831.75</c:v>
                </c:pt>
                <c:pt idx="19">
                  <c:v>43831.791666666664</c:v>
                </c:pt>
                <c:pt idx="20">
                  <c:v>43831.833333333336</c:v>
                </c:pt>
                <c:pt idx="21">
                  <c:v>43831.875</c:v>
                </c:pt>
                <c:pt idx="22">
                  <c:v>43831.916666666664</c:v>
                </c:pt>
                <c:pt idx="23">
                  <c:v>43831.958333333336</c:v>
                </c:pt>
                <c:pt idx="24">
                  <c:v>43832</c:v>
                </c:pt>
                <c:pt idx="25">
                  <c:v>43832.041666666664</c:v>
                </c:pt>
                <c:pt idx="26">
                  <c:v>43832.083333333336</c:v>
                </c:pt>
                <c:pt idx="27">
                  <c:v>43832.125</c:v>
                </c:pt>
                <c:pt idx="28">
                  <c:v>43832.166666666664</c:v>
                </c:pt>
                <c:pt idx="29">
                  <c:v>43832.208333333336</c:v>
                </c:pt>
                <c:pt idx="30">
                  <c:v>43832.25</c:v>
                </c:pt>
                <c:pt idx="31">
                  <c:v>43832.291666666664</c:v>
                </c:pt>
                <c:pt idx="32">
                  <c:v>43832.333333333336</c:v>
                </c:pt>
                <c:pt idx="33">
                  <c:v>43832.375</c:v>
                </c:pt>
                <c:pt idx="34">
                  <c:v>43832.416666666664</c:v>
                </c:pt>
                <c:pt idx="35">
                  <c:v>43832.458333333336</c:v>
                </c:pt>
                <c:pt idx="36">
                  <c:v>43832.5</c:v>
                </c:pt>
                <c:pt idx="37">
                  <c:v>43832.541666666664</c:v>
                </c:pt>
                <c:pt idx="38">
                  <c:v>43832.583333333336</c:v>
                </c:pt>
                <c:pt idx="39">
                  <c:v>43832.625</c:v>
                </c:pt>
                <c:pt idx="40">
                  <c:v>43832.666666666664</c:v>
                </c:pt>
                <c:pt idx="41">
                  <c:v>43832.708333333336</c:v>
                </c:pt>
                <c:pt idx="42">
                  <c:v>43832.75</c:v>
                </c:pt>
                <c:pt idx="43">
                  <c:v>43832.791666666664</c:v>
                </c:pt>
                <c:pt idx="44">
                  <c:v>43832.833333333336</c:v>
                </c:pt>
                <c:pt idx="45">
                  <c:v>43832.875</c:v>
                </c:pt>
                <c:pt idx="46">
                  <c:v>43832.916666666664</c:v>
                </c:pt>
                <c:pt idx="47">
                  <c:v>43832.958333333336</c:v>
                </c:pt>
                <c:pt idx="48">
                  <c:v>43833</c:v>
                </c:pt>
                <c:pt idx="49">
                  <c:v>43833.041666666664</c:v>
                </c:pt>
                <c:pt idx="50">
                  <c:v>43833.083333333336</c:v>
                </c:pt>
                <c:pt idx="51">
                  <c:v>43833.125</c:v>
                </c:pt>
                <c:pt idx="52">
                  <c:v>43833.166666666664</c:v>
                </c:pt>
                <c:pt idx="53">
                  <c:v>43833.208333333336</c:v>
                </c:pt>
                <c:pt idx="54">
                  <c:v>43833.25</c:v>
                </c:pt>
                <c:pt idx="55">
                  <c:v>43833.291666666664</c:v>
                </c:pt>
                <c:pt idx="56">
                  <c:v>43833.333333333336</c:v>
                </c:pt>
                <c:pt idx="57">
                  <c:v>43833.375</c:v>
                </c:pt>
                <c:pt idx="58">
                  <c:v>43833.416666666664</c:v>
                </c:pt>
                <c:pt idx="59">
                  <c:v>43833.458333333336</c:v>
                </c:pt>
                <c:pt idx="60">
                  <c:v>43833.5</c:v>
                </c:pt>
                <c:pt idx="61">
                  <c:v>43833.541666666664</c:v>
                </c:pt>
                <c:pt idx="62">
                  <c:v>43833.583333333336</c:v>
                </c:pt>
                <c:pt idx="63">
                  <c:v>43833.625</c:v>
                </c:pt>
                <c:pt idx="64">
                  <c:v>43833.666666666664</c:v>
                </c:pt>
                <c:pt idx="65">
                  <c:v>43833.708333333336</c:v>
                </c:pt>
                <c:pt idx="66">
                  <c:v>43833.75</c:v>
                </c:pt>
                <c:pt idx="67">
                  <c:v>43833.791666666664</c:v>
                </c:pt>
                <c:pt idx="68">
                  <c:v>43833.833333333336</c:v>
                </c:pt>
                <c:pt idx="69">
                  <c:v>43833.875</c:v>
                </c:pt>
                <c:pt idx="70">
                  <c:v>43833.916666666664</c:v>
                </c:pt>
                <c:pt idx="71">
                  <c:v>43833.958333333336</c:v>
                </c:pt>
                <c:pt idx="72">
                  <c:v>43834</c:v>
                </c:pt>
                <c:pt idx="73">
                  <c:v>43834.041666666664</c:v>
                </c:pt>
                <c:pt idx="74">
                  <c:v>43834.083333333336</c:v>
                </c:pt>
                <c:pt idx="75">
                  <c:v>43834.125</c:v>
                </c:pt>
                <c:pt idx="76">
                  <c:v>43834.166666666664</c:v>
                </c:pt>
                <c:pt idx="77">
                  <c:v>43834.208333333336</c:v>
                </c:pt>
                <c:pt idx="78">
                  <c:v>43834.25</c:v>
                </c:pt>
                <c:pt idx="79">
                  <c:v>43834.291666666664</c:v>
                </c:pt>
                <c:pt idx="80">
                  <c:v>43834.333333333336</c:v>
                </c:pt>
                <c:pt idx="81">
                  <c:v>43834.375</c:v>
                </c:pt>
                <c:pt idx="82">
                  <c:v>43834.416666666664</c:v>
                </c:pt>
                <c:pt idx="83">
                  <c:v>43834.458333333336</c:v>
                </c:pt>
                <c:pt idx="84">
                  <c:v>43834.5</c:v>
                </c:pt>
                <c:pt idx="85">
                  <c:v>43834.541666666664</c:v>
                </c:pt>
                <c:pt idx="86">
                  <c:v>43834.583333333336</c:v>
                </c:pt>
                <c:pt idx="87">
                  <c:v>43834.625</c:v>
                </c:pt>
                <c:pt idx="88">
                  <c:v>43834.666666666664</c:v>
                </c:pt>
                <c:pt idx="89">
                  <c:v>43834.708333333336</c:v>
                </c:pt>
                <c:pt idx="90">
                  <c:v>43834.75</c:v>
                </c:pt>
                <c:pt idx="91">
                  <c:v>43834.791666666664</c:v>
                </c:pt>
                <c:pt idx="92">
                  <c:v>43834.833333333336</c:v>
                </c:pt>
                <c:pt idx="93">
                  <c:v>43834.875</c:v>
                </c:pt>
                <c:pt idx="94">
                  <c:v>43834.916666666664</c:v>
                </c:pt>
                <c:pt idx="95">
                  <c:v>43834.958333333336</c:v>
                </c:pt>
                <c:pt idx="96">
                  <c:v>43835</c:v>
                </c:pt>
                <c:pt idx="97">
                  <c:v>43835.041666666664</c:v>
                </c:pt>
                <c:pt idx="98">
                  <c:v>43835.083333333336</c:v>
                </c:pt>
                <c:pt idx="99">
                  <c:v>43835.125</c:v>
                </c:pt>
                <c:pt idx="100">
                  <c:v>43835.166666666664</c:v>
                </c:pt>
                <c:pt idx="101">
                  <c:v>43835.208333333336</c:v>
                </c:pt>
                <c:pt idx="102">
                  <c:v>43835.25</c:v>
                </c:pt>
                <c:pt idx="103">
                  <c:v>43835.291666666664</c:v>
                </c:pt>
                <c:pt idx="104">
                  <c:v>43835.333333333336</c:v>
                </c:pt>
                <c:pt idx="105">
                  <c:v>43835.375</c:v>
                </c:pt>
                <c:pt idx="106">
                  <c:v>43835.416666666664</c:v>
                </c:pt>
                <c:pt idx="107">
                  <c:v>43835.458333333336</c:v>
                </c:pt>
                <c:pt idx="108">
                  <c:v>43835.5</c:v>
                </c:pt>
                <c:pt idx="109">
                  <c:v>43835.541666666664</c:v>
                </c:pt>
                <c:pt idx="110">
                  <c:v>43835.583333333336</c:v>
                </c:pt>
                <c:pt idx="111">
                  <c:v>43835.625</c:v>
                </c:pt>
                <c:pt idx="112">
                  <c:v>43835.666666666664</c:v>
                </c:pt>
                <c:pt idx="113">
                  <c:v>43835.708333333336</c:v>
                </c:pt>
                <c:pt idx="114">
                  <c:v>43835.75</c:v>
                </c:pt>
                <c:pt idx="115">
                  <c:v>43835.791666666664</c:v>
                </c:pt>
                <c:pt idx="116">
                  <c:v>43835.833333333336</c:v>
                </c:pt>
                <c:pt idx="117">
                  <c:v>43835.875</c:v>
                </c:pt>
                <c:pt idx="118">
                  <c:v>43835.916666666664</c:v>
                </c:pt>
                <c:pt idx="119">
                  <c:v>43835.958333333336</c:v>
                </c:pt>
                <c:pt idx="120">
                  <c:v>43836</c:v>
                </c:pt>
                <c:pt idx="121">
                  <c:v>43836.041666666664</c:v>
                </c:pt>
                <c:pt idx="122">
                  <c:v>43836.083333333336</c:v>
                </c:pt>
                <c:pt idx="123">
                  <c:v>43836.125</c:v>
                </c:pt>
                <c:pt idx="124">
                  <c:v>43836.166666666664</c:v>
                </c:pt>
                <c:pt idx="125">
                  <c:v>43836.208333333336</c:v>
                </c:pt>
                <c:pt idx="126">
                  <c:v>43836.25</c:v>
                </c:pt>
                <c:pt idx="127">
                  <c:v>43836.291666666664</c:v>
                </c:pt>
                <c:pt idx="128">
                  <c:v>43836.333333333336</c:v>
                </c:pt>
                <c:pt idx="129">
                  <c:v>43836.375</c:v>
                </c:pt>
                <c:pt idx="130">
                  <c:v>43836.416666666664</c:v>
                </c:pt>
                <c:pt idx="131">
                  <c:v>43836.458333333336</c:v>
                </c:pt>
                <c:pt idx="132">
                  <c:v>43836.5</c:v>
                </c:pt>
                <c:pt idx="133">
                  <c:v>43836.541666666664</c:v>
                </c:pt>
                <c:pt idx="134">
                  <c:v>43836.583333333336</c:v>
                </c:pt>
                <c:pt idx="135">
                  <c:v>43836.625</c:v>
                </c:pt>
                <c:pt idx="136">
                  <c:v>43836.666666666664</c:v>
                </c:pt>
                <c:pt idx="137">
                  <c:v>43836.708333333336</c:v>
                </c:pt>
                <c:pt idx="138">
                  <c:v>43836.75</c:v>
                </c:pt>
                <c:pt idx="139">
                  <c:v>43836.791666666664</c:v>
                </c:pt>
                <c:pt idx="140">
                  <c:v>43836.833333333336</c:v>
                </c:pt>
                <c:pt idx="141">
                  <c:v>43836.875</c:v>
                </c:pt>
                <c:pt idx="142">
                  <c:v>43836.916666666664</c:v>
                </c:pt>
                <c:pt idx="143">
                  <c:v>43836.958333333336</c:v>
                </c:pt>
                <c:pt idx="144">
                  <c:v>43837</c:v>
                </c:pt>
                <c:pt idx="145">
                  <c:v>43837.041666666664</c:v>
                </c:pt>
                <c:pt idx="146">
                  <c:v>43837.083333333336</c:v>
                </c:pt>
                <c:pt idx="147">
                  <c:v>43837.125</c:v>
                </c:pt>
                <c:pt idx="148">
                  <c:v>43837.166666666664</c:v>
                </c:pt>
                <c:pt idx="149">
                  <c:v>43837.208333333336</c:v>
                </c:pt>
                <c:pt idx="150">
                  <c:v>43837.25</c:v>
                </c:pt>
                <c:pt idx="151">
                  <c:v>43837.291666666664</c:v>
                </c:pt>
                <c:pt idx="152">
                  <c:v>43837.333333333336</c:v>
                </c:pt>
                <c:pt idx="153">
                  <c:v>43837.375</c:v>
                </c:pt>
                <c:pt idx="154">
                  <c:v>43837.416666666664</c:v>
                </c:pt>
                <c:pt idx="155">
                  <c:v>43837.458333333336</c:v>
                </c:pt>
                <c:pt idx="156">
                  <c:v>43837.5</c:v>
                </c:pt>
                <c:pt idx="157">
                  <c:v>43837.541666666664</c:v>
                </c:pt>
                <c:pt idx="158">
                  <c:v>43837.583333333336</c:v>
                </c:pt>
                <c:pt idx="159">
                  <c:v>43837.625</c:v>
                </c:pt>
                <c:pt idx="160">
                  <c:v>43837.666666666664</c:v>
                </c:pt>
                <c:pt idx="161">
                  <c:v>43837.708333333336</c:v>
                </c:pt>
                <c:pt idx="162">
                  <c:v>43837.75</c:v>
                </c:pt>
                <c:pt idx="163">
                  <c:v>43837.791666666664</c:v>
                </c:pt>
                <c:pt idx="164">
                  <c:v>43837.833333333336</c:v>
                </c:pt>
                <c:pt idx="165">
                  <c:v>43837.875</c:v>
                </c:pt>
                <c:pt idx="166">
                  <c:v>43837.916666666664</c:v>
                </c:pt>
                <c:pt idx="167">
                  <c:v>43837.958333333336</c:v>
                </c:pt>
                <c:pt idx="168">
                  <c:v>43838</c:v>
                </c:pt>
                <c:pt idx="169">
                  <c:v>43838.041666666664</c:v>
                </c:pt>
                <c:pt idx="170">
                  <c:v>43838.083333333336</c:v>
                </c:pt>
                <c:pt idx="171">
                  <c:v>43838.125</c:v>
                </c:pt>
                <c:pt idx="172">
                  <c:v>43838.166666666664</c:v>
                </c:pt>
                <c:pt idx="173">
                  <c:v>43838.208333333336</c:v>
                </c:pt>
                <c:pt idx="174">
                  <c:v>43838.25</c:v>
                </c:pt>
                <c:pt idx="175">
                  <c:v>43838.291666666664</c:v>
                </c:pt>
                <c:pt idx="176">
                  <c:v>43838.333333333336</c:v>
                </c:pt>
                <c:pt idx="177">
                  <c:v>43838.375</c:v>
                </c:pt>
                <c:pt idx="178">
                  <c:v>43838.416666666664</c:v>
                </c:pt>
                <c:pt idx="179">
                  <c:v>43838.458333333336</c:v>
                </c:pt>
                <c:pt idx="180">
                  <c:v>43838.5</c:v>
                </c:pt>
                <c:pt idx="181">
                  <c:v>43838.541666666664</c:v>
                </c:pt>
                <c:pt idx="182">
                  <c:v>43838.583333333336</c:v>
                </c:pt>
                <c:pt idx="183">
                  <c:v>43838.625</c:v>
                </c:pt>
                <c:pt idx="184">
                  <c:v>43838.666666666664</c:v>
                </c:pt>
                <c:pt idx="185">
                  <c:v>43838.708333333336</c:v>
                </c:pt>
                <c:pt idx="186">
                  <c:v>43838.75</c:v>
                </c:pt>
                <c:pt idx="187">
                  <c:v>43838.791666666664</c:v>
                </c:pt>
                <c:pt idx="188">
                  <c:v>43838.833333333336</c:v>
                </c:pt>
                <c:pt idx="189">
                  <c:v>43838.875</c:v>
                </c:pt>
                <c:pt idx="190">
                  <c:v>43838.916666666664</c:v>
                </c:pt>
                <c:pt idx="191">
                  <c:v>43838.958333333336</c:v>
                </c:pt>
                <c:pt idx="192">
                  <c:v>43839</c:v>
                </c:pt>
                <c:pt idx="193">
                  <c:v>43839.041666666664</c:v>
                </c:pt>
                <c:pt idx="194">
                  <c:v>43839.083333333336</c:v>
                </c:pt>
                <c:pt idx="195">
                  <c:v>43839.125</c:v>
                </c:pt>
                <c:pt idx="196">
                  <c:v>43839.166666666664</c:v>
                </c:pt>
                <c:pt idx="197">
                  <c:v>43839.208333333336</c:v>
                </c:pt>
                <c:pt idx="198">
                  <c:v>43839.25</c:v>
                </c:pt>
                <c:pt idx="199">
                  <c:v>43839.291666666664</c:v>
                </c:pt>
                <c:pt idx="200">
                  <c:v>43839.333333333336</c:v>
                </c:pt>
                <c:pt idx="201">
                  <c:v>43839.375</c:v>
                </c:pt>
                <c:pt idx="202">
                  <c:v>43839.416666666664</c:v>
                </c:pt>
                <c:pt idx="203">
                  <c:v>43839.458333333336</c:v>
                </c:pt>
                <c:pt idx="204">
                  <c:v>43839.5</c:v>
                </c:pt>
                <c:pt idx="205">
                  <c:v>43839.541666666664</c:v>
                </c:pt>
                <c:pt idx="206">
                  <c:v>43839.583333333336</c:v>
                </c:pt>
                <c:pt idx="207">
                  <c:v>43839.625</c:v>
                </c:pt>
                <c:pt idx="208">
                  <c:v>43839.666666666664</c:v>
                </c:pt>
                <c:pt idx="209">
                  <c:v>43839.708333333336</c:v>
                </c:pt>
                <c:pt idx="210">
                  <c:v>43839.75</c:v>
                </c:pt>
                <c:pt idx="211">
                  <c:v>43839.791666666664</c:v>
                </c:pt>
                <c:pt idx="212">
                  <c:v>43839.833333333336</c:v>
                </c:pt>
                <c:pt idx="213">
                  <c:v>43839.875</c:v>
                </c:pt>
                <c:pt idx="214">
                  <c:v>43839.916666666664</c:v>
                </c:pt>
                <c:pt idx="215">
                  <c:v>43839.958333333336</c:v>
                </c:pt>
                <c:pt idx="216">
                  <c:v>43840</c:v>
                </c:pt>
                <c:pt idx="217">
                  <c:v>43840.041666666664</c:v>
                </c:pt>
                <c:pt idx="218">
                  <c:v>43840.083333333336</c:v>
                </c:pt>
                <c:pt idx="219">
                  <c:v>43840.125</c:v>
                </c:pt>
                <c:pt idx="220">
                  <c:v>43840.166666666664</c:v>
                </c:pt>
                <c:pt idx="221">
                  <c:v>43840.208333333336</c:v>
                </c:pt>
                <c:pt idx="222">
                  <c:v>43840.25</c:v>
                </c:pt>
                <c:pt idx="223">
                  <c:v>43840.291666666664</c:v>
                </c:pt>
                <c:pt idx="224">
                  <c:v>43840.333333333336</c:v>
                </c:pt>
                <c:pt idx="225">
                  <c:v>43840.375</c:v>
                </c:pt>
                <c:pt idx="226">
                  <c:v>43840.416666666664</c:v>
                </c:pt>
                <c:pt idx="227">
                  <c:v>43840.458333333336</c:v>
                </c:pt>
                <c:pt idx="228">
                  <c:v>43840.5</c:v>
                </c:pt>
                <c:pt idx="229">
                  <c:v>43840.541666666664</c:v>
                </c:pt>
                <c:pt idx="230">
                  <c:v>43840.583333333336</c:v>
                </c:pt>
                <c:pt idx="231">
                  <c:v>43840.625</c:v>
                </c:pt>
                <c:pt idx="232">
                  <c:v>43840.666666666664</c:v>
                </c:pt>
                <c:pt idx="233">
                  <c:v>43840.708333333336</c:v>
                </c:pt>
                <c:pt idx="234">
                  <c:v>43840.75</c:v>
                </c:pt>
                <c:pt idx="235">
                  <c:v>43840.791666666664</c:v>
                </c:pt>
                <c:pt idx="236">
                  <c:v>43840.833333333336</c:v>
                </c:pt>
                <c:pt idx="237">
                  <c:v>43840.875</c:v>
                </c:pt>
                <c:pt idx="238">
                  <c:v>43840.916666666664</c:v>
                </c:pt>
                <c:pt idx="239">
                  <c:v>43840.958333333336</c:v>
                </c:pt>
                <c:pt idx="240">
                  <c:v>43841</c:v>
                </c:pt>
                <c:pt idx="241">
                  <c:v>43841.041666666664</c:v>
                </c:pt>
                <c:pt idx="242">
                  <c:v>43841.083333333336</c:v>
                </c:pt>
                <c:pt idx="243">
                  <c:v>43841.125</c:v>
                </c:pt>
                <c:pt idx="244">
                  <c:v>43841.166666666664</c:v>
                </c:pt>
                <c:pt idx="245">
                  <c:v>43841.208333333336</c:v>
                </c:pt>
                <c:pt idx="246">
                  <c:v>43841.25</c:v>
                </c:pt>
                <c:pt idx="247">
                  <c:v>43841.291666666664</c:v>
                </c:pt>
                <c:pt idx="248">
                  <c:v>43841.333333333336</c:v>
                </c:pt>
                <c:pt idx="249">
                  <c:v>43841.375</c:v>
                </c:pt>
                <c:pt idx="250">
                  <c:v>43841.416666666664</c:v>
                </c:pt>
                <c:pt idx="251">
                  <c:v>43841.458333333336</c:v>
                </c:pt>
                <c:pt idx="252">
                  <c:v>43841.5</c:v>
                </c:pt>
                <c:pt idx="253">
                  <c:v>43841.541666666664</c:v>
                </c:pt>
                <c:pt idx="254">
                  <c:v>43841.583333333336</c:v>
                </c:pt>
                <c:pt idx="255">
                  <c:v>43841.625</c:v>
                </c:pt>
                <c:pt idx="256">
                  <c:v>43841.666666666664</c:v>
                </c:pt>
                <c:pt idx="257">
                  <c:v>43841.708333333336</c:v>
                </c:pt>
                <c:pt idx="258">
                  <c:v>43841.75</c:v>
                </c:pt>
                <c:pt idx="259">
                  <c:v>43841.791666666664</c:v>
                </c:pt>
                <c:pt idx="260">
                  <c:v>43841.833333333336</c:v>
                </c:pt>
                <c:pt idx="261">
                  <c:v>43841.875</c:v>
                </c:pt>
                <c:pt idx="262">
                  <c:v>43841.916666666664</c:v>
                </c:pt>
                <c:pt idx="263">
                  <c:v>43841.958333333336</c:v>
                </c:pt>
                <c:pt idx="264">
                  <c:v>43842</c:v>
                </c:pt>
                <c:pt idx="265">
                  <c:v>43842.041666666664</c:v>
                </c:pt>
                <c:pt idx="266">
                  <c:v>43842.083333333336</c:v>
                </c:pt>
                <c:pt idx="267">
                  <c:v>43842.125</c:v>
                </c:pt>
                <c:pt idx="268">
                  <c:v>43842.166666666664</c:v>
                </c:pt>
                <c:pt idx="269">
                  <c:v>43842.208333333336</c:v>
                </c:pt>
                <c:pt idx="270">
                  <c:v>43842.25</c:v>
                </c:pt>
                <c:pt idx="271">
                  <c:v>43842.291666666664</c:v>
                </c:pt>
                <c:pt idx="272">
                  <c:v>43842.333333333336</c:v>
                </c:pt>
                <c:pt idx="273">
                  <c:v>43842.375</c:v>
                </c:pt>
                <c:pt idx="274">
                  <c:v>43842.416666666664</c:v>
                </c:pt>
                <c:pt idx="275">
                  <c:v>43842.458333333336</c:v>
                </c:pt>
                <c:pt idx="276">
                  <c:v>43842.5</c:v>
                </c:pt>
                <c:pt idx="277">
                  <c:v>43842.541666666664</c:v>
                </c:pt>
                <c:pt idx="278">
                  <c:v>43842.583333333336</c:v>
                </c:pt>
                <c:pt idx="279">
                  <c:v>43842.625</c:v>
                </c:pt>
                <c:pt idx="280">
                  <c:v>43842.666666666664</c:v>
                </c:pt>
                <c:pt idx="281">
                  <c:v>43842.708333333336</c:v>
                </c:pt>
                <c:pt idx="282">
                  <c:v>43842.75</c:v>
                </c:pt>
                <c:pt idx="283">
                  <c:v>43842.791666666664</c:v>
                </c:pt>
                <c:pt idx="284">
                  <c:v>43842.833333333336</c:v>
                </c:pt>
                <c:pt idx="285">
                  <c:v>43842.875</c:v>
                </c:pt>
                <c:pt idx="286">
                  <c:v>43842.916666666664</c:v>
                </c:pt>
                <c:pt idx="287">
                  <c:v>43842.958333333336</c:v>
                </c:pt>
                <c:pt idx="288">
                  <c:v>43843</c:v>
                </c:pt>
                <c:pt idx="289">
                  <c:v>43843.041666666664</c:v>
                </c:pt>
                <c:pt idx="290">
                  <c:v>43843.083333333336</c:v>
                </c:pt>
                <c:pt idx="291">
                  <c:v>43843.125</c:v>
                </c:pt>
                <c:pt idx="292">
                  <c:v>43843.166666666664</c:v>
                </c:pt>
                <c:pt idx="293">
                  <c:v>43843.208333333336</c:v>
                </c:pt>
                <c:pt idx="294">
                  <c:v>43843.25</c:v>
                </c:pt>
                <c:pt idx="295">
                  <c:v>43843.291666666664</c:v>
                </c:pt>
                <c:pt idx="296">
                  <c:v>43843.333333333336</c:v>
                </c:pt>
                <c:pt idx="297">
                  <c:v>43843.375</c:v>
                </c:pt>
                <c:pt idx="298">
                  <c:v>43843.416666666664</c:v>
                </c:pt>
                <c:pt idx="299">
                  <c:v>43843.458333333336</c:v>
                </c:pt>
                <c:pt idx="300">
                  <c:v>43843.5</c:v>
                </c:pt>
                <c:pt idx="301">
                  <c:v>43843.541666666664</c:v>
                </c:pt>
                <c:pt idx="302">
                  <c:v>43843.583333333336</c:v>
                </c:pt>
                <c:pt idx="303">
                  <c:v>43843.625</c:v>
                </c:pt>
                <c:pt idx="304">
                  <c:v>43843.666666666664</c:v>
                </c:pt>
                <c:pt idx="305">
                  <c:v>43843.708333333336</c:v>
                </c:pt>
                <c:pt idx="306">
                  <c:v>43843.75</c:v>
                </c:pt>
                <c:pt idx="307">
                  <c:v>43843.791666666664</c:v>
                </c:pt>
                <c:pt idx="308">
                  <c:v>43843.833333333336</c:v>
                </c:pt>
                <c:pt idx="309">
                  <c:v>43843.875</c:v>
                </c:pt>
                <c:pt idx="310">
                  <c:v>43843.916666666664</c:v>
                </c:pt>
                <c:pt idx="311">
                  <c:v>43843.958333333336</c:v>
                </c:pt>
                <c:pt idx="312">
                  <c:v>43844</c:v>
                </c:pt>
                <c:pt idx="313">
                  <c:v>43844.041666666664</c:v>
                </c:pt>
                <c:pt idx="314">
                  <c:v>43844.083333333336</c:v>
                </c:pt>
                <c:pt idx="315">
                  <c:v>43844.125</c:v>
                </c:pt>
                <c:pt idx="316">
                  <c:v>43844.166666666664</c:v>
                </c:pt>
                <c:pt idx="317">
                  <c:v>43844.208333333336</c:v>
                </c:pt>
                <c:pt idx="318">
                  <c:v>43844.25</c:v>
                </c:pt>
                <c:pt idx="319">
                  <c:v>43844.291666666664</c:v>
                </c:pt>
                <c:pt idx="320">
                  <c:v>43844.333333333336</c:v>
                </c:pt>
                <c:pt idx="321">
                  <c:v>43844.375</c:v>
                </c:pt>
                <c:pt idx="322">
                  <c:v>43844.416666666664</c:v>
                </c:pt>
                <c:pt idx="323">
                  <c:v>43844.458333333336</c:v>
                </c:pt>
                <c:pt idx="324">
                  <c:v>43844.5</c:v>
                </c:pt>
                <c:pt idx="325">
                  <c:v>43844.541666666664</c:v>
                </c:pt>
                <c:pt idx="326">
                  <c:v>43844.583333333336</c:v>
                </c:pt>
                <c:pt idx="327">
                  <c:v>43844.625</c:v>
                </c:pt>
                <c:pt idx="328">
                  <c:v>43844.666666666664</c:v>
                </c:pt>
                <c:pt idx="329">
                  <c:v>43844.708333333336</c:v>
                </c:pt>
                <c:pt idx="330">
                  <c:v>43844.75</c:v>
                </c:pt>
                <c:pt idx="331">
                  <c:v>43844.791666666664</c:v>
                </c:pt>
                <c:pt idx="332">
                  <c:v>43844.833333333336</c:v>
                </c:pt>
                <c:pt idx="333">
                  <c:v>43844.875</c:v>
                </c:pt>
                <c:pt idx="334">
                  <c:v>43844.916666666664</c:v>
                </c:pt>
                <c:pt idx="335">
                  <c:v>43844.958333333336</c:v>
                </c:pt>
                <c:pt idx="336" formatCode="General">
                  <c:v>43845</c:v>
                </c:pt>
                <c:pt idx="337" formatCode="General">
                  <c:v>43845.041666666664</c:v>
                </c:pt>
                <c:pt idx="338" formatCode="General">
                  <c:v>43845.083333333336</c:v>
                </c:pt>
                <c:pt idx="339" formatCode="General">
                  <c:v>43845.125</c:v>
                </c:pt>
                <c:pt idx="340" formatCode="General">
                  <c:v>43845.166666666664</c:v>
                </c:pt>
                <c:pt idx="341" formatCode="General">
                  <c:v>43845.208333333336</c:v>
                </c:pt>
                <c:pt idx="342" formatCode="General">
                  <c:v>43845.25</c:v>
                </c:pt>
                <c:pt idx="343" formatCode="General">
                  <c:v>43845.291666666664</c:v>
                </c:pt>
                <c:pt idx="344" formatCode="General">
                  <c:v>43845.333333333336</c:v>
                </c:pt>
                <c:pt idx="345" formatCode="General">
                  <c:v>43845.375</c:v>
                </c:pt>
                <c:pt idx="346" formatCode="General">
                  <c:v>43845.416666666664</c:v>
                </c:pt>
                <c:pt idx="347" formatCode="General">
                  <c:v>43845.458333333336</c:v>
                </c:pt>
                <c:pt idx="348" formatCode="General">
                  <c:v>43845.5</c:v>
                </c:pt>
                <c:pt idx="349" formatCode="General">
                  <c:v>43845.541666666664</c:v>
                </c:pt>
                <c:pt idx="350" formatCode="General">
                  <c:v>43845.583333333336</c:v>
                </c:pt>
                <c:pt idx="351" formatCode="General">
                  <c:v>43845.625</c:v>
                </c:pt>
                <c:pt idx="352" formatCode="General">
                  <c:v>43845.666666666664</c:v>
                </c:pt>
                <c:pt idx="353" formatCode="General">
                  <c:v>43845.708333333336</c:v>
                </c:pt>
                <c:pt idx="354" formatCode="General">
                  <c:v>43845.75</c:v>
                </c:pt>
                <c:pt idx="355" formatCode="General">
                  <c:v>43845.791666666664</c:v>
                </c:pt>
                <c:pt idx="356" formatCode="General">
                  <c:v>43845.833333333336</c:v>
                </c:pt>
                <c:pt idx="357" formatCode="General">
                  <c:v>43845.875</c:v>
                </c:pt>
                <c:pt idx="358" formatCode="General">
                  <c:v>43845.916666666664</c:v>
                </c:pt>
                <c:pt idx="359" formatCode="General">
                  <c:v>43845.958333333336</c:v>
                </c:pt>
              </c:numCache>
            </c:numRef>
          </c:xVal>
          <c:yVal>
            <c:numRef>
              <c:f>[0]!_chartCalculations</c:f>
              <c:numCache>
                <c:formatCode>General</c:formatCode>
                <c:ptCount val="360"/>
                <c:pt idx="0">
                  <c:v>0.30492405268355033</c:v>
                </c:pt>
                <c:pt idx="1">
                  <c:v>0.23467643868657784</c:v>
                </c:pt>
                <c:pt idx="2">
                  <c:v>0.15309282987842601</c:v>
                </c:pt>
                <c:pt idx="3">
                  <c:v>0.13786086826644728</c:v>
                </c:pt>
                <c:pt idx="4">
                  <c:v>0.2004758736951231</c:v>
                </c:pt>
                <c:pt idx="5">
                  <c:v>0.27688038539327198</c:v>
                </c:pt>
                <c:pt idx="6">
                  <c:v>0.290731419215155</c:v>
                </c:pt>
                <c:pt idx="7">
                  <c:v>0.22855836645048744</c:v>
                </c:pt>
                <c:pt idx="8">
                  <c:v>0.15399430366406733</c:v>
                </c:pt>
                <c:pt idx="9">
                  <c:v>0.14642258701351374</c:v>
                </c:pt>
                <c:pt idx="10">
                  <c:v>0.22251540588273294</c:v>
                </c:pt>
                <c:pt idx="11">
                  <c:v>0.31674967538499038</c:v>
                </c:pt>
                <c:pt idx="12">
                  <c:v>0.34123055838025051</c:v>
                </c:pt>
                <c:pt idx="13">
                  <c:v>0.26882484406443341</c:v>
                </c:pt>
                <c:pt idx="14">
                  <c:v>0.1601165722325843</c:v>
                </c:pt>
                <c:pt idx="15">
                  <c:v>0.10748037020341634</c:v>
                </c:pt>
                <c:pt idx="16">
                  <c:v>0.14879228251763166</c:v>
                </c:pt>
                <c:pt idx="17">
                  <c:v>0.23298244517349959</c:v>
                </c:pt>
                <c:pt idx="18">
                  <c:v>0.27059674988314147</c:v>
                </c:pt>
                <c:pt idx="19">
                  <c:v>0.22110448647998049</c:v>
                </c:pt>
                <c:pt idx="20">
                  <c:v>0.13294052894353445</c:v>
                </c:pt>
                <c:pt idx="21">
                  <c:v>9.713024285383412E-2</c:v>
                </c:pt>
                <c:pt idx="22">
                  <c:v>0.15843351211072118</c:v>
                </c:pt>
                <c:pt idx="23">
                  <c:v>0.26956233829155474</c:v>
                </c:pt>
                <c:pt idx="24">
                  <c:v>0.33356862032191875</c:v>
                </c:pt>
                <c:pt idx="25">
                  <c:v>0.29502612584901583</c:v>
                </c:pt>
                <c:pt idx="26">
                  <c:v>0.19305407912469019</c:v>
                </c:pt>
                <c:pt idx="27">
                  <c:v>0.12480971179377282</c:v>
                </c:pt>
                <c:pt idx="28">
                  <c:v>0.15348526248071293</c:v>
                </c:pt>
                <c:pt idx="29">
                  <c:v>0.2484269628351285</c:v>
                </c:pt>
                <c:pt idx="30">
                  <c:v>0.31489606948114307</c:v>
                </c:pt>
                <c:pt idx="31">
                  <c:v>0.28537217555780736</c:v>
                </c:pt>
                <c:pt idx="32">
                  <c:v>0.18499110826010345</c:v>
                </c:pt>
                <c:pt idx="33">
                  <c:v>0.10797245863451781</c:v>
                </c:pt>
                <c:pt idx="34">
                  <c:v>0.12708915800259474</c:v>
                </c:pt>
                <c:pt idx="35">
                  <c:v>0.22290744996012943</c:v>
                </c:pt>
                <c:pt idx="36">
                  <c:v>0.30126998303218394</c:v>
                </c:pt>
                <c:pt idx="37">
                  <c:v>0.28315693338100445</c:v>
                </c:pt>
                <c:pt idx="38">
                  <c:v>0.18121262527600523</c:v>
                </c:pt>
                <c:pt idx="39">
                  <c:v>8.9188171601234711E-2</c:v>
                </c:pt>
                <c:pt idx="40">
                  <c:v>9.3528162516825414E-2</c:v>
                </c:pt>
                <c:pt idx="41">
                  <c:v>0.1911547197616873</c:v>
                </c:pt>
                <c:pt idx="42">
                  <c:v>0.29221238821156614</c:v>
                </c:pt>
                <c:pt idx="43">
                  <c:v>0.30560627904828691</c:v>
                </c:pt>
                <c:pt idx="44">
                  <c:v>0.22577476528048634</c:v>
                </c:pt>
                <c:pt idx="45">
                  <c:v>0.13753048282639063</c:v>
                </c:pt>
                <c:pt idx="46">
                  <c:v>0.13402034452973435</c:v>
                </c:pt>
                <c:pt idx="47">
                  <c:v>0.22627534557798074</c:v>
                </c:pt>
                <c:pt idx="48">
                  <c:v>0.33135080467734701</c:v>
                </c:pt>
                <c:pt idx="49">
                  <c:v>0.35104353791391552</c:v>
                </c:pt>
                <c:pt idx="50">
                  <c:v>0.26616187091385202</c:v>
                </c:pt>
                <c:pt idx="51">
                  <c:v>0.1558308525152034</c:v>
                </c:pt>
                <c:pt idx="52">
                  <c:v>0.122671062248132</c:v>
                </c:pt>
                <c:pt idx="53">
                  <c:v>0.19491260649220657</c:v>
                </c:pt>
                <c:pt idx="54">
                  <c:v>0.29909593776981475</c:v>
                </c:pt>
                <c:pt idx="55">
                  <c:v>0.32989766579045754</c:v>
                </c:pt>
                <c:pt idx="56">
                  <c:v>0.25070243178769552</c:v>
                </c:pt>
                <c:pt idx="57">
                  <c:v>0.12881114977346192</c:v>
                </c:pt>
                <c:pt idx="58">
                  <c:v>7.1436213570785723E-2</c:v>
                </c:pt>
                <c:pt idx="59">
                  <c:v>0.12357744534024408</c:v>
                </c:pt>
                <c:pt idx="60">
                  <c:v>0.2255808998660557</c:v>
                </c:pt>
                <c:pt idx="61">
                  <c:v>0.27122110826983648</c:v>
                </c:pt>
                <c:pt idx="62">
                  <c:v>0.21079524450320705</c:v>
                </c:pt>
                <c:pt idx="63">
                  <c:v>0.10026126027551438</c:v>
                </c:pt>
                <c:pt idx="64">
                  <c:v>4.8799270452575261E-2</c:v>
                </c:pt>
                <c:pt idx="65">
                  <c:v>0.11445409986318426</c:v>
                </c:pt>
                <c:pt idx="66">
                  <c:v>0.24760556182468385</c:v>
                </c:pt>
                <c:pt idx="67">
                  <c:v>0.33669110585296413</c:v>
                </c:pt>
                <c:pt idx="68">
                  <c:v>0.31295661451944518</c:v>
                </c:pt>
                <c:pt idx="69">
                  <c:v>0.21442476861514137</c:v>
                </c:pt>
                <c:pt idx="70">
                  <c:v>0.14807393801587226</c:v>
                </c:pt>
                <c:pt idx="71">
                  <c:v>0.18649080849504826</c:v>
                </c:pt>
                <c:pt idx="72">
                  <c:v>0.2979634405726268</c:v>
                </c:pt>
                <c:pt idx="73">
                  <c:v>0.37699277795033515</c:v>
                </c:pt>
                <c:pt idx="74">
                  <c:v>0.34599773767024022</c:v>
                </c:pt>
                <c:pt idx="75">
                  <c:v>0.23064215738968005</c:v>
                </c:pt>
                <c:pt idx="76">
                  <c:v>0.13627821882331051</c:v>
                </c:pt>
                <c:pt idx="77">
                  <c:v>0.1476480310622203</c:v>
                </c:pt>
                <c:pt idx="78">
                  <c:v>0.24765667175697853</c:v>
                </c:pt>
                <c:pt idx="79">
                  <c:v>0.3330925428361392</c:v>
                </c:pt>
                <c:pt idx="80">
                  <c:v>0.31261908336564176</c:v>
                </c:pt>
                <c:pt idx="81">
                  <c:v>0.19367803744358608</c:v>
                </c:pt>
                <c:pt idx="82">
                  <c:v>7.5454512502446835E-2</c:v>
                </c:pt>
                <c:pt idx="83">
                  <c:v>5.4780786790622621E-2</c:v>
                </c:pt>
                <c:pt idx="84">
                  <c:v>0.13499286781873651</c:v>
                </c:pt>
                <c:pt idx="85">
                  <c:v>0.2247623459877644</c:v>
                </c:pt>
                <c:pt idx="86">
                  <c:v>0.22768296189649034</c:v>
                </c:pt>
                <c:pt idx="87">
                  <c:v>0.13646041654451596</c:v>
                </c:pt>
                <c:pt idx="88">
                  <c:v>4.1159298922992221E-2</c:v>
                </c:pt>
                <c:pt idx="89">
                  <c:v>4.3312033317643883E-2</c:v>
                </c:pt>
                <c:pt idx="90">
                  <c:v>0.15795354215398791</c:v>
                </c:pt>
                <c:pt idx="91">
                  <c:v>0.29739975711685984</c:v>
                </c:pt>
                <c:pt idx="92">
                  <c:v>0.35256651996726296</c:v>
                </c:pt>
                <c:pt idx="93">
                  <c:v>0.29446707678334094</c:v>
                </c:pt>
                <c:pt idx="94">
                  <c:v>0.19932411208206008</c:v>
                </c:pt>
                <c:pt idx="95">
                  <c:v>0.17378401108106739</c:v>
                </c:pt>
                <c:pt idx="96">
                  <c:v>0.25208582775973787</c:v>
                </c:pt>
                <c:pt idx="97">
                  <c:v>0.3635307330353752</c:v>
                </c:pt>
                <c:pt idx="98">
                  <c:v>0.4010326670507981</c:v>
                </c:pt>
                <c:pt idx="99">
                  <c:v>0.32470831763083102</c:v>
                </c:pt>
                <c:pt idx="100">
                  <c:v>0.20104566356690556</c:v>
                </c:pt>
                <c:pt idx="101">
                  <c:v>0.14002072937999457</c:v>
                </c:pt>
                <c:pt idx="102">
                  <c:v>0.19029363829111021</c:v>
                </c:pt>
                <c:pt idx="103">
                  <c:v>0.29273253351545681</c:v>
                </c:pt>
                <c:pt idx="104">
                  <c:v>0.33671598328319741</c:v>
                </c:pt>
                <c:pt idx="105">
                  <c:v>0.26546595041027476</c:v>
                </c:pt>
                <c:pt idx="106">
                  <c:v>0.12999416193583174</c:v>
                </c:pt>
                <c:pt idx="107">
                  <c:v>4.0557383330082658E-2</c:v>
                </c:pt>
                <c:pt idx="108">
                  <c:v>6.2428886487210011E-2</c:v>
                </c:pt>
                <c:pt idx="109">
                  <c:v>0.15563594330528496</c:v>
                </c:pt>
                <c:pt idx="110">
                  <c:v>0.21579077557405521</c:v>
                </c:pt>
                <c:pt idx="111">
                  <c:v>0.17625095854167847</c:v>
                </c:pt>
                <c:pt idx="112">
                  <c:v>7.337698659976824E-2</c:v>
                </c:pt>
                <c:pt idx="113">
                  <c:v>1.2335346384122869E-2</c:v>
                </c:pt>
                <c:pt idx="114">
                  <c:v>6.6268063220682877E-2</c:v>
                </c:pt>
                <c:pt idx="115">
                  <c:v>0.20534436440809531</c:v>
                </c:pt>
                <c:pt idx="116">
                  <c:v>0.32347523889897678</c:v>
                </c:pt>
                <c:pt idx="117">
                  <c:v>0.33709948424145691</c:v>
                </c:pt>
                <c:pt idx="118">
                  <c:v>0.26185962711636129</c:v>
                </c:pt>
                <c:pt idx="119">
                  <c:v>0.19454318287337855</c:v>
                </c:pt>
                <c:pt idx="120">
                  <c:v>0.21835932271488365</c:v>
                </c:pt>
                <c:pt idx="121">
                  <c:v>0.32254342466402797</c:v>
                </c:pt>
                <c:pt idx="122">
                  <c:v>0.41294212006082143</c:v>
                </c:pt>
                <c:pt idx="123">
                  <c:v>0.40282211706595561</c:v>
                </c:pt>
                <c:pt idx="124">
                  <c:v>0.29654077958868319</c:v>
                </c:pt>
                <c:pt idx="125">
                  <c:v>0.18599706261459209</c:v>
                </c:pt>
                <c:pt idx="126">
                  <c:v>0.16351603439533219</c:v>
                </c:pt>
                <c:pt idx="127">
                  <c:v>0.23462159617091077</c:v>
                </c:pt>
                <c:pt idx="128">
                  <c:v>0.31385732952392276</c:v>
                </c:pt>
                <c:pt idx="129">
                  <c:v>0.30717472195866502</c:v>
                </c:pt>
                <c:pt idx="130">
                  <c:v>0.20189679360599422</c:v>
                </c:pt>
                <c:pt idx="131">
                  <c:v>7.8610403263569412E-2</c:v>
                </c:pt>
                <c:pt idx="132">
                  <c:v>3.4370235672665922E-2</c:v>
                </c:pt>
                <c:pt idx="133">
                  <c:v>9.1171047230696411E-2</c:v>
                </c:pt>
                <c:pt idx="134">
                  <c:v>0.1770346729825592</c:v>
                </c:pt>
                <c:pt idx="135">
                  <c:v>0.19704045232648235</c:v>
                </c:pt>
                <c:pt idx="136">
                  <c:v>0.12564109310763805</c:v>
                </c:pt>
                <c:pt idx="137">
                  <c:v>3.1807335709190143E-2</c:v>
                </c:pt>
                <c:pt idx="138">
                  <c:v>1.3308046947095281E-2</c:v>
                </c:pt>
                <c:pt idx="139">
                  <c:v>0.10331526516305829</c:v>
                </c:pt>
                <c:pt idx="140">
                  <c:v>0.23848103763971731</c:v>
                </c:pt>
                <c:pt idx="141">
                  <c:v>0.31840489201026501</c:v>
                </c:pt>
                <c:pt idx="142">
                  <c:v>0.29917711847806994</c:v>
                </c:pt>
                <c:pt idx="143">
                  <c:v>0.23183561465000288</c:v>
                </c:pt>
                <c:pt idx="144">
                  <c:v>0.2099591218764362</c:v>
                </c:pt>
                <c:pt idx="145">
                  <c:v>0.27755358349675474</c:v>
                </c:pt>
                <c:pt idx="146">
                  <c:v>0.38568642780995571</c:v>
                </c:pt>
                <c:pt idx="147">
                  <c:v>0.43891461656321973</c:v>
                </c:pt>
                <c:pt idx="148">
                  <c:v>0.38646295304166017</c:v>
                </c:pt>
                <c:pt idx="149">
                  <c:v>0.27079426469289963</c:v>
                </c:pt>
                <c:pt idx="150">
                  <c:v>0.18758100176013015</c:v>
                </c:pt>
                <c:pt idx="151">
                  <c:v>0.1958768641330205</c:v>
                </c:pt>
                <c:pt idx="152">
                  <c:v>0.26426307524697407</c:v>
                </c:pt>
                <c:pt idx="153">
                  <c:v>0.30355939679615096</c:v>
                </c:pt>
                <c:pt idx="154">
                  <c:v>0.25376083903436786</c:v>
                </c:pt>
                <c:pt idx="155">
                  <c:v>0.14171003609598887</c:v>
                </c:pt>
                <c:pt idx="156">
                  <c:v>5.4985289973265877E-2</c:v>
                </c:pt>
                <c:pt idx="157">
                  <c:v>5.8022224094406993E-2</c:v>
                </c:pt>
                <c:pt idx="158">
                  <c:v>0.13124167466632747</c:v>
                </c:pt>
                <c:pt idx="159">
                  <c:v>0.19106425141053449</c:v>
                </c:pt>
                <c:pt idx="160">
                  <c:v>0.1708985675395695</c:v>
                </c:pt>
                <c:pt idx="161">
                  <c:v>8.5278119568323957E-2</c:v>
                </c:pt>
                <c:pt idx="162">
                  <c:v>1.6218570535099175E-2</c:v>
                </c:pt>
                <c:pt idx="163">
                  <c:v>3.5558295345533508E-2</c:v>
                </c:pt>
                <c:pt idx="164">
                  <c:v>0.13769230321414758</c:v>
                </c:pt>
                <c:pt idx="165">
                  <c:v>0.24618683481649972</c:v>
                </c:pt>
                <c:pt idx="166">
                  <c:v>0.28665418741988014</c:v>
                </c:pt>
                <c:pt idx="167">
                  <c:v>0.25549496405479061</c:v>
                </c:pt>
                <c:pt idx="168">
                  <c:v>0.2192884412200487</c:v>
                </c:pt>
                <c:pt idx="169">
                  <c:v>0.24678672382492411</c:v>
                </c:pt>
                <c:pt idx="170">
                  <c:v>0.33974472399663547</c:v>
                </c:pt>
                <c:pt idx="171">
                  <c:v>0.42900810214076512</c:v>
                </c:pt>
                <c:pt idx="172">
                  <c:v>0.43913716829313931</c:v>
                </c:pt>
                <c:pt idx="173">
                  <c:v>0.35942995033134056</c:v>
                </c:pt>
                <c:pt idx="174">
                  <c:v>0.25384281194674785</c:v>
                </c:pt>
                <c:pt idx="175">
                  <c:v>0.20120578302415015</c:v>
                </c:pt>
                <c:pt idx="176">
                  <c:v>0.22328283690286232</c:v>
                </c:pt>
                <c:pt idx="177">
                  <c:v>0.26863615153652248</c:v>
                </c:pt>
                <c:pt idx="178">
                  <c:v>0.26598704498216003</c:v>
                </c:pt>
                <c:pt idx="179">
                  <c:v>0.19456270869507236</c:v>
                </c:pt>
                <c:pt idx="180">
                  <c:v>0.10394393432440008</c:v>
                </c:pt>
                <c:pt idx="181">
                  <c:v>6.547701101874559E-2</c:v>
                </c:pt>
                <c:pt idx="182">
                  <c:v>0.10302124060519946</c:v>
                </c:pt>
                <c:pt idx="183">
                  <c:v>0.16979111097969674</c:v>
                </c:pt>
                <c:pt idx="184">
                  <c:v>0.19305138635799168</c:v>
                </c:pt>
                <c:pt idx="185">
                  <c:v>0.14340671667468552</c:v>
                </c:pt>
                <c:pt idx="186">
                  <c:v>6.2636575226645452E-2</c:v>
                </c:pt>
                <c:pt idx="187">
                  <c:v>2.4388277107220691E-2</c:v>
                </c:pt>
                <c:pt idx="188">
                  <c:v>6.6021366984265528E-2</c:v>
                </c:pt>
                <c:pt idx="189">
                  <c:v>0.15627131183546991</c:v>
                </c:pt>
                <c:pt idx="190">
                  <c:v>0.22792253026336126</c:v>
                </c:pt>
                <c:pt idx="191">
                  <c:v>0.24239806457535384</c:v>
                </c:pt>
                <c:pt idx="192">
                  <c:v>0.22386046012063593</c:v>
                </c:pt>
                <c:pt idx="193">
                  <c:v>0.23118429981482869</c:v>
                </c:pt>
                <c:pt idx="194">
                  <c:v>0.2963483031470957</c:v>
                </c:pt>
                <c:pt idx="195">
                  <c:v>0.38940964634397657</c:v>
                </c:pt>
                <c:pt idx="196">
                  <c:v>0.4437438554446077</c:v>
                </c:pt>
                <c:pt idx="197">
                  <c:v>0.41710615348899094</c:v>
                </c:pt>
                <c:pt idx="198">
                  <c:v>0.33030614072589964</c:v>
                </c:pt>
                <c:pt idx="199">
                  <c:v>0.24748978611028821</c:v>
                </c:pt>
                <c:pt idx="200">
                  <c:v>0.21785658905021085</c:v>
                </c:pt>
                <c:pt idx="201">
                  <c:v>0.23432648806557241</c:v>
                </c:pt>
                <c:pt idx="202">
                  <c:v>0.24688623058572209</c:v>
                </c:pt>
                <c:pt idx="203">
                  <c:v>0.21541053893790066</c:v>
                </c:pt>
                <c:pt idx="204">
                  <c:v>0.14990958614519043</c:v>
                </c:pt>
                <c:pt idx="205">
                  <c:v>9.996057183406612E-2</c:v>
                </c:pt>
                <c:pt idx="206">
                  <c:v>0.10495753801626795</c:v>
                </c:pt>
                <c:pt idx="207">
                  <c:v>0.15421698759376917</c:v>
                </c:pt>
                <c:pt idx="208">
                  <c:v>0.19554186276827104</c:v>
                </c:pt>
                <c:pt idx="209">
                  <c:v>0.1837384069900832</c:v>
                </c:pt>
                <c:pt idx="210">
                  <c:v>0.12262634213361476</c:v>
                </c:pt>
                <c:pt idx="211">
                  <c:v>6.1183642053327797E-2</c:v>
                </c:pt>
                <c:pt idx="212">
                  <c:v>4.8672853937883676E-2</c:v>
                </c:pt>
                <c:pt idx="213">
                  <c:v>9.1896469763279545E-2</c:v>
                </c:pt>
                <c:pt idx="214">
                  <c:v>0.15400091039584282</c:v>
                </c:pt>
                <c:pt idx="215">
                  <c:v>0.19342993360217053</c:v>
                </c:pt>
                <c:pt idx="216">
                  <c:v>0.20375705061339522</c:v>
                </c:pt>
                <c:pt idx="217">
                  <c:v>0.21610797509691526</c:v>
                </c:pt>
                <c:pt idx="218">
                  <c:v>0.26340476283587377</c:v>
                </c:pt>
                <c:pt idx="219">
                  <c:v>0.3426272465654393</c:v>
                </c:pt>
                <c:pt idx="220">
                  <c:v>0.41234289363587151</c:v>
                </c:pt>
                <c:pt idx="221">
                  <c:v>0.42800094060513627</c:v>
                </c:pt>
                <c:pt idx="222">
                  <c:v>0.38123722278069949</c:v>
                </c:pt>
                <c:pt idx="223">
                  <c:v>0.30634389475501156</c:v>
                </c:pt>
                <c:pt idx="224">
                  <c:v>0.24900809512798669</c:v>
                </c:pt>
                <c:pt idx="225">
                  <c:v>0.2278376160533262</c:v>
                </c:pt>
                <c:pt idx="226">
                  <c:v>0.22432975400715024</c:v>
                </c:pt>
                <c:pt idx="227">
                  <c:v>0.20817706580529272</c:v>
                </c:pt>
                <c:pt idx="228">
                  <c:v>0.17096812467562572</c:v>
                </c:pt>
                <c:pt idx="229">
                  <c:v>0.13492308626615129</c:v>
                </c:pt>
                <c:pt idx="230">
                  <c:v>0.12923038459285768</c:v>
                </c:pt>
                <c:pt idx="231">
                  <c:v>0.15854453174912878</c:v>
                </c:pt>
                <c:pt idx="232">
                  <c:v>0.19521009172883183</c:v>
                </c:pt>
                <c:pt idx="233">
                  <c:v>0.20297258650474137</c:v>
                </c:pt>
                <c:pt idx="234">
                  <c:v>0.16936215984196351</c:v>
                </c:pt>
                <c:pt idx="235">
                  <c:v>0.11622619145239467</c:v>
                </c:pt>
                <c:pt idx="236">
                  <c:v>7.95620007150247E-2</c:v>
                </c:pt>
                <c:pt idx="237">
                  <c:v>7.8916436760503611E-2</c:v>
                </c:pt>
                <c:pt idx="238">
                  <c:v>0.10503888768210147</c:v>
                </c:pt>
                <c:pt idx="239">
                  <c:v>0.13519838452438479</c:v>
                </c:pt>
                <c:pt idx="240">
                  <c:v>0.15855073103134829</c:v>
                </c:pt>
                <c:pt idx="241">
                  <c:v>0.18560486013165303</c:v>
                </c:pt>
                <c:pt idx="242">
                  <c:v>0.23325881471660062</c:v>
                </c:pt>
                <c:pt idx="243">
                  <c:v>0.30178105427978064</c:v>
                </c:pt>
                <c:pt idx="244">
                  <c:v>0.36777657948823478</c:v>
                </c:pt>
                <c:pt idx="245">
                  <c:v>0.40079451142144273</c:v>
                </c:pt>
                <c:pt idx="246">
                  <c:v>0.38780376513085624</c:v>
                </c:pt>
                <c:pt idx="247">
                  <c:v>0.34248465084834062</c:v>
                </c:pt>
                <c:pt idx="248">
                  <c:v>0.29160349049856937</c:v>
                </c:pt>
                <c:pt idx="249">
                  <c:v>0.25273948807918384</c:v>
                </c:pt>
                <c:pt idx="250">
                  <c:v>0.22459241424386414</c:v>
                </c:pt>
                <c:pt idx="251">
                  <c:v>0.19706222800339687</c:v>
                </c:pt>
                <c:pt idx="252">
                  <c:v>0.16823908951717506</c:v>
                </c:pt>
                <c:pt idx="253">
                  <c:v>0.14956683800881421</c:v>
                </c:pt>
                <c:pt idx="254">
                  <c:v>0.15388460084652988</c:v>
                </c:pt>
                <c:pt idx="255">
                  <c:v>0.17937952091520146</c:v>
                </c:pt>
                <c:pt idx="256">
                  <c:v>0.20688425589399451</c:v>
                </c:pt>
                <c:pt idx="257">
                  <c:v>0.21430060316119762</c:v>
                </c:pt>
                <c:pt idx="258">
                  <c:v>0.19451444824018765</c:v>
                </c:pt>
                <c:pt idx="259">
                  <c:v>0.1597504512543606</c:v>
                </c:pt>
                <c:pt idx="260">
                  <c:v>0.12905968176401653</c:v>
                </c:pt>
                <c:pt idx="261">
                  <c:v>0.11222417278119809</c:v>
                </c:pt>
                <c:pt idx="262">
                  <c:v>0.1059266023965471</c:v>
                </c:pt>
                <c:pt idx="263">
                  <c:v>0.10438708180457248</c:v>
                </c:pt>
                <c:pt idx="264">
                  <c:v>0.11129571893665946</c:v>
                </c:pt>
                <c:pt idx="265">
                  <c:v>0.13880623539476181</c:v>
                </c:pt>
                <c:pt idx="266">
                  <c:v>0.19361912089933947</c:v>
                </c:pt>
                <c:pt idx="267">
                  <c:v>0.26475693512834769</c:v>
                </c:pt>
                <c:pt idx="268">
                  <c:v>0.32703714699676695</c:v>
                </c:pt>
                <c:pt idx="269">
                  <c:v>0.35866370751308824</c:v>
                </c:pt>
                <c:pt idx="270">
                  <c:v>0.35668082285186253</c:v>
                </c:pt>
                <c:pt idx="271">
                  <c:v>0.33560479797868265</c:v>
                </c:pt>
                <c:pt idx="272">
                  <c:v>0.31119663965968108</c:v>
                </c:pt>
                <c:pt idx="273">
                  <c:v>0.28620611435317755</c:v>
                </c:pt>
                <c:pt idx="274">
                  <c:v>0.25258586347565609</c:v>
                </c:pt>
                <c:pt idx="275">
                  <c:v>0.20719312049702002</c:v>
                </c:pt>
                <c:pt idx="276">
                  <c:v>0.1632502224578683</c:v>
                </c:pt>
                <c:pt idx="277">
                  <c:v>0.14344307348347946</c:v>
                </c:pt>
                <c:pt idx="278">
                  <c:v>0.1595275348867978</c:v>
                </c:pt>
                <c:pt idx="279">
                  <c:v>0.19849362149583871</c:v>
                </c:pt>
                <c:pt idx="280">
                  <c:v>0.23054431366642494</c:v>
                </c:pt>
                <c:pt idx="281">
                  <c:v>0.23313880472929283</c:v>
                </c:pt>
                <c:pt idx="282">
                  <c:v>0.20884921683169691</c:v>
                </c:pt>
                <c:pt idx="283">
                  <c:v>0.17992235931256398</c:v>
                </c:pt>
                <c:pt idx="284">
                  <c:v>0.16502712176843687</c:v>
                </c:pt>
                <c:pt idx="285">
                  <c:v>0.16150831057312051</c:v>
                </c:pt>
                <c:pt idx="286">
                  <c:v>0.15123976705435915</c:v>
                </c:pt>
                <c:pt idx="287">
                  <c:v>0.12428063996463672</c:v>
                </c:pt>
                <c:pt idx="288">
                  <c:v>9.5616410435945848E-2</c:v>
                </c:pt>
                <c:pt idx="289">
                  <c:v>9.5937467793406173E-2</c:v>
                </c:pt>
                <c:pt idx="290">
                  <c:v>0.14313837783442901</c:v>
                </c:pt>
                <c:pt idx="291">
                  <c:v>0.22180655901976756</c:v>
                </c:pt>
                <c:pt idx="292">
                  <c:v>0.29214458813282906</c:v>
                </c:pt>
                <c:pt idx="293">
                  <c:v>0.32193241836886682</c:v>
                </c:pt>
                <c:pt idx="294">
                  <c:v>0.31211301330886976</c:v>
                </c:pt>
                <c:pt idx="295">
                  <c:v>0.29165278876083595</c:v>
                </c:pt>
                <c:pt idx="296">
                  <c:v>0.28666964740294809</c:v>
                </c:pt>
                <c:pt idx="297">
                  <c:v>0.2941878059984705</c:v>
                </c:pt>
                <c:pt idx="298">
                  <c:v>0.28685014929594216</c:v>
                </c:pt>
                <c:pt idx="299">
                  <c:v>0.24443743013179683</c:v>
                </c:pt>
                <c:pt idx="300">
                  <c:v>0.18060126954831021</c:v>
                </c:pt>
                <c:pt idx="301">
                  <c:v>0.13644436863865322</c:v>
                </c:pt>
                <c:pt idx="302">
                  <c:v>0.14457644514365664</c:v>
                </c:pt>
                <c:pt idx="303">
                  <c:v>0.1973159008465491</c:v>
                </c:pt>
                <c:pt idx="304">
                  <c:v>0.2507098383764213</c:v>
                </c:pt>
                <c:pt idx="305">
                  <c:v>0.26252997701521463</c:v>
                </c:pt>
                <c:pt idx="306">
                  <c:v>0.22919505062431528</c:v>
                </c:pt>
                <c:pt idx="307">
                  <c:v>0.18645415198209903</c:v>
                </c:pt>
                <c:pt idx="308">
                  <c:v>0.17296216347326032</c:v>
                </c:pt>
                <c:pt idx="309">
                  <c:v>0.19200645483540943</c:v>
                </c:pt>
                <c:pt idx="310">
                  <c:v>0.20911463130834351</c:v>
                </c:pt>
                <c:pt idx="311">
                  <c:v>0.18861878036801866</c:v>
                </c:pt>
                <c:pt idx="312">
                  <c:v>0.13350991299191822</c:v>
                </c:pt>
                <c:pt idx="313">
                  <c:v>8.8237578770728062E-2</c:v>
                </c:pt>
                <c:pt idx="314">
                  <c:v>9.9296463810043145E-2</c:v>
                </c:pt>
                <c:pt idx="315">
                  <c:v>0.17016282535632643</c:v>
                </c:pt>
                <c:pt idx="316">
                  <c:v>0.25448550155728078</c:v>
                </c:pt>
                <c:pt idx="317">
                  <c:v>0.29592898919991922</c:v>
                </c:pt>
                <c:pt idx="318">
                  <c:v>0.27806057658146371</c:v>
                </c:pt>
                <c:pt idx="319">
                  <c:v>0.23691193840874192</c:v>
                </c:pt>
                <c:pt idx="320">
                  <c:v>0.22387319661622859</c:v>
                </c:pt>
                <c:pt idx="321">
                  <c:v>0.25447291894276314</c:v>
                </c:pt>
                <c:pt idx="322">
                  <c:v>0.29293503638754559</c:v>
                </c:pt>
                <c:pt idx="323">
                  <c:v>0.28831908229757008</c:v>
                </c:pt>
                <c:pt idx="324">
                  <c:v>0.22764872544577358</c:v>
                </c:pt>
                <c:pt idx="325">
                  <c:v>0.1536407044211594</c:v>
                </c:pt>
                <c:pt idx="326">
                  <c:v>0.12778971360473065</c:v>
                </c:pt>
                <c:pt idx="327">
                  <c:v>0.17262772243200533</c:v>
                </c:pt>
                <c:pt idx="328">
                  <c:v>0.24860827282124234</c:v>
                </c:pt>
                <c:pt idx="329">
                  <c:v>0.28922691586895322</c:v>
                </c:pt>
                <c:pt idx="330">
                  <c:v>0.26224139459689666</c:v>
                </c:pt>
                <c:pt idx="331">
                  <c:v>0.19884891347224526</c:v>
                </c:pt>
                <c:pt idx="332">
                  <c:v>0.16244406659678495</c:v>
                </c:pt>
                <c:pt idx="333">
                  <c:v>0.18649449480650954</c:v>
                </c:pt>
                <c:pt idx="334">
                  <c:v>0.2414810980212112</c:v>
                </c:pt>
                <c:pt idx="335">
                  <c:v>0.26360747799610668</c:v>
                </c:pt>
                <c:pt idx="336">
                  <c:v>0.2183610917503768</c:v>
                </c:pt>
                <c:pt idx="337">
                  <c:v>0.13733508796336463</c:v>
                </c:pt>
                <c:pt idx="338">
                  <c:v>9.1301299879842424E-2</c:v>
                </c:pt>
                <c:pt idx="339">
                  <c:v>0.12376565938310917</c:v>
                </c:pt>
                <c:pt idx="340">
                  <c:v>0.20838245167724462</c:v>
                </c:pt>
                <c:pt idx="341">
                  <c:v>0.27209046004743237</c:v>
                </c:pt>
                <c:pt idx="342">
                  <c:v>0.26320322698020154</c:v>
                </c:pt>
                <c:pt idx="343">
                  <c:v>0.19982034566607637</c:v>
                </c:pt>
                <c:pt idx="344">
                  <c:v>0.15173893242095793</c:v>
                </c:pt>
                <c:pt idx="345">
                  <c:v>0.17248809972153695</c:v>
                </c:pt>
                <c:pt idx="346">
                  <c:v>0.24658953578897114</c:v>
                </c:pt>
                <c:pt idx="347">
                  <c:v>0.303431491961204</c:v>
                </c:pt>
                <c:pt idx="348">
                  <c:v>0.28540551328300057</c:v>
                </c:pt>
                <c:pt idx="349">
                  <c:v>0.2050659627491789</c:v>
                </c:pt>
                <c:pt idx="350">
                  <c:v>0.13548203598219671</c:v>
                </c:pt>
                <c:pt idx="351">
                  <c:v>0.1416607712481861</c:v>
                </c:pt>
                <c:pt idx="352">
                  <c:v>0.21817741480926331</c:v>
                </c:pt>
                <c:pt idx="353">
                  <c:v>0.29338433426247212</c:v>
                </c:pt>
                <c:pt idx="354">
                  <c:v>0.29729946770404619</c:v>
                </c:pt>
                <c:pt idx="355">
                  <c:v>0.22871087222594072</c:v>
                </c:pt>
                <c:pt idx="356">
                  <c:v>0.15675091857872853</c:v>
                </c:pt>
                <c:pt idx="357">
                  <c:v>0.15447338767099372</c:v>
                </c:pt>
                <c:pt idx="358">
                  <c:v>0.22761222256066849</c:v>
                </c:pt>
                <c:pt idx="359">
                  <c:v>0.30732595792875927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2-43C8-919C-9F6285637264}"/>
            </c:ext>
          </c:extLst>
        </c:ser>
        <c:ser>
          <c:idx val="2"/>
          <c:order val="2"/>
          <c:tx>
            <c:strRef>
              <c:f>Calculation!$P$2</c:f>
              <c:strCache>
                <c:ptCount val="1"/>
                <c:pt idx="0">
                  <c:v>obs - calc
(V)</c:v>
                </c:pt>
              </c:strCache>
            </c:strRef>
          </c:tx>
          <c:spPr>
            <a:ln w="19050">
              <a:prstDash val="solid"/>
            </a:ln>
          </c:spPr>
          <c:marker>
            <c:symbol val="none"/>
          </c:marker>
          <c:dPt>
            <c:idx val="303"/>
            <c:marker>
              <c:symbol val="circle"/>
              <c:size val="5"/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262-43C8-919C-9F6285637264}"/>
              </c:ext>
            </c:extLst>
          </c:dPt>
          <c:xVal>
            <c:numRef>
              <c:f>[0]!_chartDate</c:f>
              <c:numCache>
                <c:formatCode>d\-mmm\-yy\ hh:mm</c:formatCode>
                <c:ptCount val="360"/>
                <c:pt idx="0">
                  <c:v>43831</c:v>
                </c:pt>
                <c:pt idx="1">
                  <c:v>43831.041666666664</c:v>
                </c:pt>
                <c:pt idx="2">
                  <c:v>43831.083333333336</c:v>
                </c:pt>
                <c:pt idx="3">
                  <c:v>43831.125</c:v>
                </c:pt>
                <c:pt idx="4">
                  <c:v>43831.166666666664</c:v>
                </c:pt>
                <c:pt idx="5">
                  <c:v>43831.208333333336</c:v>
                </c:pt>
                <c:pt idx="6">
                  <c:v>43831.25</c:v>
                </c:pt>
                <c:pt idx="7">
                  <c:v>43831.291666666664</c:v>
                </c:pt>
                <c:pt idx="8">
                  <c:v>43831.333333333336</c:v>
                </c:pt>
                <c:pt idx="9">
                  <c:v>43831.375</c:v>
                </c:pt>
                <c:pt idx="10">
                  <c:v>43831.416666666664</c:v>
                </c:pt>
                <c:pt idx="11">
                  <c:v>43831.458333333336</c:v>
                </c:pt>
                <c:pt idx="12">
                  <c:v>43831.5</c:v>
                </c:pt>
                <c:pt idx="13">
                  <c:v>43831.541666666664</c:v>
                </c:pt>
                <c:pt idx="14">
                  <c:v>43831.583333333336</c:v>
                </c:pt>
                <c:pt idx="15">
                  <c:v>43831.625</c:v>
                </c:pt>
                <c:pt idx="16">
                  <c:v>43831.666666666664</c:v>
                </c:pt>
                <c:pt idx="17">
                  <c:v>43831.708333333336</c:v>
                </c:pt>
                <c:pt idx="18">
                  <c:v>43831.75</c:v>
                </c:pt>
                <c:pt idx="19">
                  <c:v>43831.791666666664</c:v>
                </c:pt>
                <c:pt idx="20">
                  <c:v>43831.833333333336</c:v>
                </c:pt>
                <c:pt idx="21">
                  <c:v>43831.875</c:v>
                </c:pt>
                <c:pt idx="22">
                  <c:v>43831.916666666664</c:v>
                </c:pt>
                <c:pt idx="23">
                  <c:v>43831.958333333336</c:v>
                </c:pt>
                <c:pt idx="24">
                  <c:v>43832</c:v>
                </c:pt>
                <c:pt idx="25">
                  <c:v>43832.041666666664</c:v>
                </c:pt>
                <c:pt idx="26">
                  <c:v>43832.083333333336</c:v>
                </c:pt>
                <c:pt idx="27">
                  <c:v>43832.125</c:v>
                </c:pt>
                <c:pt idx="28">
                  <c:v>43832.166666666664</c:v>
                </c:pt>
                <c:pt idx="29">
                  <c:v>43832.208333333336</c:v>
                </c:pt>
                <c:pt idx="30">
                  <c:v>43832.25</c:v>
                </c:pt>
                <c:pt idx="31">
                  <c:v>43832.291666666664</c:v>
                </c:pt>
                <c:pt idx="32">
                  <c:v>43832.333333333336</c:v>
                </c:pt>
                <c:pt idx="33">
                  <c:v>43832.375</c:v>
                </c:pt>
                <c:pt idx="34">
                  <c:v>43832.416666666664</c:v>
                </c:pt>
                <c:pt idx="35">
                  <c:v>43832.458333333336</c:v>
                </c:pt>
                <c:pt idx="36">
                  <c:v>43832.5</c:v>
                </c:pt>
                <c:pt idx="37">
                  <c:v>43832.541666666664</c:v>
                </c:pt>
                <c:pt idx="38">
                  <c:v>43832.583333333336</c:v>
                </c:pt>
                <c:pt idx="39">
                  <c:v>43832.625</c:v>
                </c:pt>
                <c:pt idx="40">
                  <c:v>43832.666666666664</c:v>
                </c:pt>
                <c:pt idx="41">
                  <c:v>43832.708333333336</c:v>
                </c:pt>
                <c:pt idx="42">
                  <c:v>43832.75</c:v>
                </c:pt>
                <c:pt idx="43">
                  <c:v>43832.791666666664</c:v>
                </c:pt>
                <c:pt idx="44">
                  <c:v>43832.833333333336</c:v>
                </c:pt>
                <c:pt idx="45">
                  <c:v>43832.875</c:v>
                </c:pt>
                <c:pt idx="46">
                  <c:v>43832.916666666664</c:v>
                </c:pt>
                <c:pt idx="47">
                  <c:v>43832.958333333336</c:v>
                </c:pt>
                <c:pt idx="48">
                  <c:v>43833</c:v>
                </c:pt>
                <c:pt idx="49">
                  <c:v>43833.041666666664</c:v>
                </c:pt>
                <c:pt idx="50">
                  <c:v>43833.083333333336</c:v>
                </c:pt>
                <c:pt idx="51">
                  <c:v>43833.125</c:v>
                </c:pt>
                <c:pt idx="52">
                  <c:v>43833.166666666664</c:v>
                </c:pt>
                <c:pt idx="53">
                  <c:v>43833.208333333336</c:v>
                </c:pt>
                <c:pt idx="54">
                  <c:v>43833.25</c:v>
                </c:pt>
                <c:pt idx="55">
                  <c:v>43833.291666666664</c:v>
                </c:pt>
                <c:pt idx="56">
                  <c:v>43833.333333333336</c:v>
                </c:pt>
                <c:pt idx="57">
                  <c:v>43833.375</c:v>
                </c:pt>
                <c:pt idx="58">
                  <c:v>43833.416666666664</c:v>
                </c:pt>
                <c:pt idx="59">
                  <c:v>43833.458333333336</c:v>
                </c:pt>
                <c:pt idx="60">
                  <c:v>43833.5</c:v>
                </c:pt>
                <c:pt idx="61">
                  <c:v>43833.541666666664</c:v>
                </c:pt>
                <c:pt idx="62">
                  <c:v>43833.583333333336</c:v>
                </c:pt>
                <c:pt idx="63">
                  <c:v>43833.625</c:v>
                </c:pt>
                <c:pt idx="64">
                  <c:v>43833.666666666664</c:v>
                </c:pt>
                <c:pt idx="65">
                  <c:v>43833.708333333336</c:v>
                </c:pt>
                <c:pt idx="66">
                  <c:v>43833.75</c:v>
                </c:pt>
                <c:pt idx="67">
                  <c:v>43833.791666666664</c:v>
                </c:pt>
                <c:pt idx="68">
                  <c:v>43833.833333333336</c:v>
                </c:pt>
                <c:pt idx="69">
                  <c:v>43833.875</c:v>
                </c:pt>
                <c:pt idx="70">
                  <c:v>43833.916666666664</c:v>
                </c:pt>
                <c:pt idx="71">
                  <c:v>43833.958333333336</c:v>
                </c:pt>
                <c:pt idx="72">
                  <c:v>43834</c:v>
                </c:pt>
                <c:pt idx="73">
                  <c:v>43834.041666666664</c:v>
                </c:pt>
                <c:pt idx="74">
                  <c:v>43834.083333333336</c:v>
                </c:pt>
                <c:pt idx="75">
                  <c:v>43834.125</c:v>
                </c:pt>
                <c:pt idx="76">
                  <c:v>43834.166666666664</c:v>
                </c:pt>
                <c:pt idx="77">
                  <c:v>43834.208333333336</c:v>
                </c:pt>
                <c:pt idx="78">
                  <c:v>43834.25</c:v>
                </c:pt>
                <c:pt idx="79">
                  <c:v>43834.291666666664</c:v>
                </c:pt>
                <c:pt idx="80">
                  <c:v>43834.333333333336</c:v>
                </c:pt>
                <c:pt idx="81">
                  <c:v>43834.375</c:v>
                </c:pt>
                <c:pt idx="82">
                  <c:v>43834.416666666664</c:v>
                </c:pt>
                <c:pt idx="83">
                  <c:v>43834.458333333336</c:v>
                </c:pt>
                <c:pt idx="84">
                  <c:v>43834.5</c:v>
                </c:pt>
                <c:pt idx="85">
                  <c:v>43834.541666666664</c:v>
                </c:pt>
                <c:pt idx="86">
                  <c:v>43834.583333333336</c:v>
                </c:pt>
                <c:pt idx="87">
                  <c:v>43834.625</c:v>
                </c:pt>
                <c:pt idx="88">
                  <c:v>43834.666666666664</c:v>
                </c:pt>
                <c:pt idx="89">
                  <c:v>43834.708333333336</c:v>
                </c:pt>
                <c:pt idx="90">
                  <c:v>43834.75</c:v>
                </c:pt>
                <c:pt idx="91">
                  <c:v>43834.791666666664</c:v>
                </c:pt>
                <c:pt idx="92">
                  <c:v>43834.833333333336</c:v>
                </c:pt>
                <c:pt idx="93">
                  <c:v>43834.875</c:v>
                </c:pt>
                <c:pt idx="94">
                  <c:v>43834.916666666664</c:v>
                </c:pt>
                <c:pt idx="95">
                  <c:v>43834.958333333336</c:v>
                </c:pt>
                <c:pt idx="96">
                  <c:v>43835</c:v>
                </c:pt>
                <c:pt idx="97">
                  <c:v>43835.041666666664</c:v>
                </c:pt>
                <c:pt idx="98">
                  <c:v>43835.083333333336</c:v>
                </c:pt>
                <c:pt idx="99">
                  <c:v>43835.125</c:v>
                </c:pt>
                <c:pt idx="100">
                  <c:v>43835.166666666664</c:v>
                </c:pt>
                <c:pt idx="101">
                  <c:v>43835.208333333336</c:v>
                </c:pt>
                <c:pt idx="102">
                  <c:v>43835.25</c:v>
                </c:pt>
                <c:pt idx="103">
                  <c:v>43835.291666666664</c:v>
                </c:pt>
                <c:pt idx="104">
                  <c:v>43835.333333333336</c:v>
                </c:pt>
                <c:pt idx="105">
                  <c:v>43835.375</c:v>
                </c:pt>
                <c:pt idx="106">
                  <c:v>43835.416666666664</c:v>
                </c:pt>
                <c:pt idx="107">
                  <c:v>43835.458333333336</c:v>
                </c:pt>
                <c:pt idx="108">
                  <c:v>43835.5</c:v>
                </c:pt>
                <c:pt idx="109">
                  <c:v>43835.541666666664</c:v>
                </c:pt>
                <c:pt idx="110">
                  <c:v>43835.583333333336</c:v>
                </c:pt>
                <c:pt idx="111">
                  <c:v>43835.625</c:v>
                </c:pt>
                <c:pt idx="112">
                  <c:v>43835.666666666664</c:v>
                </c:pt>
                <c:pt idx="113">
                  <c:v>43835.708333333336</c:v>
                </c:pt>
                <c:pt idx="114">
                  <c:v>43835.75</c:v>
                </c:pt>
                <c:pt idx="115">
                  <c:v>43835.791666666664</c:v>
                </c:pt>
                <c:pt idx="116">
                  <c:v>43835.833333333336</c:v>
                </c:pt>
                <c:pt idx="117">
                  <c:v>43835.875</c:v>
                </c:pt>
                <c:pt idx="118">
                  <c:v>43835.916666666664</c:v>
                </c:pt>
                <c:pt idx="119">
                  <c:v>43835.958333333336</c:v>
                </c:pt>
                <c:pt idx="120">
                  <c:v>43836</c:v>
                </c:pt>
                <c:pt idx="121">
                  <c:v>43836.041666666664</c:v>
                </c:pt>
                <c:pt idx="122">
                  <c:v>43836.083333333336</c:v>
                </c:pt>
                <c:pt idx="123">
                  <c:v>43836.125</c:v>
                </c:pt>
                <c:pt idx="124">
                  <c:v>43836.166666666664</c:v>
                </c:pt>
                <c:pt idx="125">
                  <c:v>43836.208333333336</c:v>
                </c:pt>
                <c:pt idx="126">
                  <c:v>43836.25</c:v>
                </c:pt>
                <c:pt idx="127">
                  <c:v>43836.291666666664</c:v>
                </c:pt>
                <c:pt idx="128">
                  <c:v>43836.333333333336</c:v>
                </c:pt>
                <c:pt idx="129">
                  <c:v>43836.375</c:v>
                </c:pt>
                <c:pt idx="130">
                  <c:v>43836.416666666664</c:v>
                </c:pt>
                <c:pt idx="131">
                  <c:v>43836.458333333336</c:v>
                </c:pt>
                <c:pt idx="132">
                  <c:v>43836.5</c:v>
                </c:pt>
                <c:pt idx="133">
                  <c:v>43836.541666666664</c:v>
                </c:pt>
                <c:pt idx="134">
                  <c:v>43836.583333333336</c:v>
                </c:pt>
                <c:pt idx="135">
                  <c:v>43836.625</c:v>
                </c:pt>
                <c:pt idx="136">
                  <c:v>43836.666666666664</c:v>
                </c:pt>
                <c:pt idx="137">
                  <c:v>43836.708333333336</c:v>
                </c:pt>
                <c:pt idx="138">
                  <c:v>43836.75</c:v>
                </c:pt>
                <c:pt idx="139">
                  <c:v>43836.791666666664</c:v>
                </c:pt>
                <c:pt idx="140">
                  <c:v>43836.833333333336</c:v>
                </c:pt>
                <c:pt idx="141">
                  <c:v>43836.875</c:v>
                </c:pt>
                <c:pt idx="142">
                  <c:v>43836.916666666664</c:v>
                </c:pt>
                <c:pt idx="143">
                  <c:v>43836.958333333336</c:v>
                </c:pt>
                <c:pt idx="144">
                  <c:v>43837</c:v>
                </c:pt>
                <c:pt idx="145">
                  <c:v>43837.041666666664</c:v>
                </c:pt>
                <c:pt idx="146">
                  <c:v>43837.083333333336</c:v>
                </c:pt>
                <c:pt idx="147">
                  <c:v>43837.125</c:v>
                </c:pt>
                <c:pt idx="148">
                  <c:v>43837.166666666664</c:v>
                </c:pt>
                <c:pt idx="149">
                  <c:v>43837.208333333336</c:v>
                </c:pt>
                <c:pt idx="150">
                  <c:v>43837.25</c:v>
                </c:pt>
                <c:pt idx="151">
                  <c:v>43837.291666666664</c:v>
                </c:pt>
                <c:pt idx="152">
                  <c:v>43837.333333333336</c:v>
                </c:pt>
                <c:pt idx="153">
                  <c:v>43837.375</c:v>
                </c:pt>
                <c:pt idx="154">
                  <c:v>43837.416666666664</c:v>
                </c:pt>
                <c:pt idx="155">
                  <c:v>43837.458333333336</c:v>
                </c:pt>
                <c:pt idx="156">
                  <c:v>43837.5</c:v>
                </c:pt>
                <c:pt idx="157">
                  <c:v>43837.541666666664</c:v>
                </c:pt>
                <c:pt idx="158">
                  <c:v>43837.583333333336</c:v>
                </c:pt>
                <c:pt idx="159">
                  <c:v>43837.625</c:v>
                </c:pt>
                <c:pt idx="160">
                  <c:v>43837.666666666664</c:v>
                </c:pt>
                <c:pt idx="161">
                  <c:v>43837.708333333336</c:v>
                </c:pt>
                <c:pt idx="162">
                  <c:v>43837.75</c:v>
                </c:pt>
                <c:pt idx="163">
                  <c:v>43837.791666666664</c:v>
                </c:pt>
                <c:pt idx="164">
                  <c:v>43837.833333333336</c:v>
                </c:pt>
                <c:pt idx="165">
                  <c:v>43837.875</c:v>
                </c:pt>
                <c:pt idx="166">
                  <c:v>43837.916666666664</c:v>
                </c:pt>
                <c:pt idx="167">
                  <c:v>43837.958333333336</c:v>
                </c:pt>
                <c:pt idx="168">
                  <c:v>43838</c:v>
                </c:pt>
                <c:pt idx="169">
                  <c:v>43838.041666666664</c:v>
                </c:pt>
                <c:pt idx="170">
                  <c:v>43838.083333333336</c:v>
                </c:pt>
                <c:pt idx="171">
                  <c:v>43838.125</c:v>
                </c:pt>
                <c:pt idx="172">
                  <c:v>43838.166666666664</c:v>
                </c:pt>
                <c:pt idx="173">
                  <c:v>43838.208333333336</c:v>
                </c:pt>
                <c:pt idx="174">
                  <c:v>43838.25</c:v>
                </c:pt>
                <c:pt idx="175">
                  <c:v>43838.291666666664</c:v>
                </c:pt>
                <c:pt idx="176">
                  <c:v>43838.333333333336</c:v>
                </c:pt>
                <c:pt idx="177">
                  <c:v>43838.375</c:v>
                </c:pt>
                <c:pt idx="178">
                  <c:v>43838.416666666664</c:v>
                </c:pt>
                <c:pt idx="179">
                  <c:v>43838.458333333336</c:v>
                </c:pt>
                <c:pt idx="180">
                  <c:v>43838.5</c:v>
                </c:pt>
                <c:pt idx="181">
                  <c:v>43838.541666666664</c:v>
                </c:pt>
                <c:pt idx="182">
                  <c:v>43838.583333333336</c:v>
                </c:pt>
                <c:pt idx="183">
                  <c:v>43838.625</c:v>
                </c:pt>
                <c:pt idx="184">
                  <c:v>43838.666666666664</c:v>
                </c:pt>
                <c:pt idx="185">
                  <c:v>43838.708333333336</c:v>
                </c:pt>
                <c:pt idx="186">
                  <c:v>43838.75</c:v>
                </c:pt>
                <c:pt idx="187">
                  <c:v>43838.791666666664</c:v>
                </c:pt>
                <c:pt idx="188">
                  <c:v>43838.833333333336</c:v>
                </c:pt>
                <c:pt idx="189">
                  <c:v>43838.875</c:v>
                </c:pt>
                <c:pt idx="190">
                  <c:v>43838.916666666664</c:v>
                </c:pt>
                <c:pt idx="191">
                  <c:v>43838.958333333336</c:v>
                </c:pt>
                <c:pt idx="192">
                  <c:v>43839</c:v>
                </c:pt>
                <c:pt idx="193">
                  <c:v>43839.041666666664</c:v>
                </c:pt>
                <c:pt idx="194">
                  <c:v>43839.083333333336</c:v>
                </c:pt>
                <c:pt idx="195">
                  <c:v>43839.125</c:v>
                </c:pt>
                <c:pt idx="196">
                  <c:v>43839.166666666664</c:v>
                </c:pt>
                <c:pt idx="197">
                  <c:v>43839.208333333336</c:v>
                </c:pt>
                <c:pt idx="198">
                  <c:v>43839.25</c:v>
                </c:pt>
                <c:pt idx="199">
                  <c:v>43839.291666666664</c:v>
                </c:pt>
                <c:pt idx="200">
                  <c:v>43839.333333333336</c:v>
                </c:pt>
                <c:pt idx="201">
                  <c:v>43839.375</c:v>
                </c:pt>
                <c:pt idx="202">
                  <c:v>43839.416666666664</c:v>
                </c:pt>
                <c:pt idx="203">
                  <c:v>43839.458333333336</c:v>
                </c:pt>
                <c:pt idx="204">
                  <c:v>43839.5</c:v>
                </c:pt>
                <c:pt idx="205">
                  <c:v>43839.541666666664</c:v>
                </c:pt>
                <c:pt idx="206">
                  <c:v>43839.583333333336</c:v>
                </c:pt>
                <c:pt idx="207">
                  <c:v>43839.625</c:v>
                </c:pt>
                <c:pt idx="208">
                  <c:v>43839.666666666664</c:v>
                </c:pt>
                <c:pt idx="209">
                  <c:v>43839.708333333336</c:v>
                </c:pt>
                <c:pt idx="210">
                  <c:v>43839.75</c:v>
                </c:pt>
                <c:pt idx="211">
                  <c:v>43839.791666666664</c:v>
                </c:pt>
                <c:pt idx="212">
                  <c:v>43839.833333333336</c:v>
                </c:pt>
                <c:pt idx="213">
                  <c:v>43839.875</c:v>
                </c:pt>
                <c:pt idx="214">
                  <c:v>43839.916666666664</c:v>
                </c:pt>
                <c:pt idx="215">
                  <c:v>43839.958333333336</c:v>
                </c:pt>
                <c:pt idx="216">
                  <c:v>43840</c:v>
                </c:pt>
                <c:pt idx="217">
                  <c:v>43840.041666666664</c:v>
                </c:pt>
                <c:pt idx="218">
                  <c:v>43840.083333333336</c:v>
                </c:pt>
                <c:pt idx="219">
                  <c:v>43840.125</c:v>
                </c:pt>
                <c:pt idx="220">
                  <c:v>43840.166666666664</c:v>
                </c:pt>
                <c:pt idx="221">
                  <c:v>43840.208333333336</c:v>
                </c:pt>
                <c:pt idx="222">
                  <c:v>43840.25</c:v>
                </c:pt>
                <c:pt idx="223">
                  <c:v>43840.291666666664</c:v>
                </c:pt>
                <c:pt idx="224">
                  <c:v>43840.333333333336</c:v>
                </c:pt>
                <c:pt idx="225">
                  <c:v>43840.375</c:v>
                </c:pt>
                <c:pt idx="226">
                  <c:v>43840.416666666664</c:v>
                </c:pt>
                <c:pt idx="227">
                  <c:v>43840.458333333336</c:v>
                </c:pt>
                <c:pt idx="228">
                  <c:v>43840.5</c:v>
                </c:pt>
                <c:pt idx="229">
                  <c:v>43840.541666666664</c:v>
                </c:pt>
                <c:pt idx="230">
                  <c:v>43840.583333333336</c:v>
                </c:pt>
                <c:pt idx="231">
                  <c:v>43840.625</c:v>
                </c:pt>
                <c:pt idx="232">
                  <c:v>43840.666666666664</c:v>
                </c:pt>
                <c:pt idx="233">
                  <c:v>43840.708333333336</c:v>
                </c:pt>
                <c:pt idx="234">
                  <c:v>43840.75</c:v>
                </c:pt>
                <c:pt idx="235">
                  <c:v>43840.791666666664</c:v>
                </c:pt>
                <c:pt idx="236">
                  <c:v>43840.833333333336</c:v>
                </c:pt>
                <c:pt idx="237">
                  <c:v>43840.875</c:v>
                </c:pt>
                <c:pt idx="238">
                  <c:v>43840.916666666664</c:v>
                </c:pt>
                <c:pt idx="239">
                  <c:v>43840.958333333336</c:v>
                </c:pt>
                <c:pt idx="240">
                  <c:v>43841</c:v>
                </c:pt>
                <c:pt idx="241">
                  <c:v>43841.041666666664</c:v>
                </c:pt>
                <c:pt idx="242">
                  <c:v>43841.083333333336</c:v>
                </c:pt>
                <c:pt idx="243">
                  <c:v>43841.125</c:v>
                </c:pt>
                <c:pt idx="244">
                  <c:v>43841.166666666664</c:v>
                </c:pt>
                <c:pt idx="245">
                  <c:v>43841.208333333336</c:v>
                </c:pt>
                <c:pt idx="246">
                  <c:v>43841.25</c:v>
                </c:pt>
                <c:pt idx="247">
                  <c:v>43841.291666666664</c:v>
                </c:pt>
                <c:pt idx="248">
                  <c:v>43841.333333333336</c:v>
                </c:pt>
                <c:pt idx="249">
                  <c:v>43841.375</c:v>
                </c:pt>
                <c:pt idx="250">
                  <c:v>43841.416666666664</c:v>
                </c:pt>
                <c:pt idx="251">
                  <c:v>43841.458333333336</c:v>
                </c:pt>
                <c:pt idx="252">
                  <c:v>43841.5</c:v>
                </c:pt>
                <c:pt idx="253">
                  <c:v>43841.541666666664</c:v>
                </c:pt>
                <c:pt idx="254">
                  <c:v>43841.583333333336</c:v>
                </c:pt>
                <c:pt idx="255">
                  <c:v>43841.625</c:v>
                </c:pt>
                <c:pt idx="256">
                  <c:v>43841.666666666664</c:v>
                </c:pt>
                <c:pt idx="257">
                  <c:v>43841.708333333336</c:v>
                </c:pt>
                <c:pt idx="258">
                  <c:v>43841.75</c:v>
                </c:pt>
                <c:pt idx="259">
                  <c:v>43841.791666666664</c:v>
                </c:pt>
                <c:pt idx="260">
                  <c:v>43841.833333333336</c:v>
                </c:pt>
                <c:pt idx="261">
                  <c:v>43841.875</c:v>
                </c:pt>
                <c:pt idx="262">
                  <c:v>43841.916666666664</c:v>
                </c:pt>
                <c:pt idx="263">
                  <c:v>43841.958333333336</c:v>
                </c:pt>
                <c:pt idx="264">
                  <c:v>43842</c:v>
                </c:pt>
                <c:pt idx="265">
                  <c:v>43842.041666666664</c:v>
                </c:pt>
                <c:pt idx="266">
                  <c:v>43842.083333333336</c:v>
                </c:pt>
                <c:pt idx="267">
                  <c:v>43842.125</c:v>
                </c:pt>
                <c:pt idx="268">
                  <c:v>43842.166666666664</c:v>
                </c:pt>
                <c:pt idx="269">
                  <c:v>43842.208333333336</c:v>
                </c:pt>
                <c:pt idx="270">
                  <c:v>43842.25</c:v>
                </c:pt>
                <c:pt idx="271">
                  <c:v>43842.291666666664</c:v>
                </c:pt>
                <c:pt idx="272">
                  <c:v>43842.333333333336</c:v>
                </c:pt>
                <c:pt idx="273">
                  <c:v>43842.375</c:v>
                </c:pt>
                <c:pt idx="274">
                  <c:v>43842.416666666664</c:v>
                </c:pt>
                <c:pt idx="275">
                  <c:v>43842.458333333336</c:v>
                </c:pt>
                <c:pt idx="276">
                  <c:v>43842.5</c:v>
                </c:pt>
                <c:pt idx="277">
                  <c:v>43842.541666666664</c:v>
                </c:pt>
                <c:pt idx="278">
                  <c:v>43842.583333333336</c:v>
                </c:pt>
                <c:pt idx="279">
                  <c:v>43842.625</c:v>
                </c:pt>
                <c:pt idx="280">
                  <c:v>43842.666666666664</c:v>
                </c:pt>
                <c:pt idx="281">
                  <c:v>43842.708333333336</c:v>
                </c:pt>
                <c:pt idx="282">
                  <c:v>43842.75</c:v>
                </c:pt>
                <c:pt idx="283">
                  <c:v>43842.791666666664</c:v>
                </c:pt>
                <c:pt idx="284">
                  <c:v>43842.833333333336</c:v>
                </c:pt>
                <c:pt idx="285">
                  <c:v>43842.875</c:v>
                </c:pt>
                <c:pt idx="286">
                  <c:v>43842.916666666664</c:v>
                </c:pt>
                <c:pt idx="287">
                  <c:v>43842.958333333336</c:v>
                </c:pt>
                <c:pt idx="288">
                  <c:v>43843</c:v>
                </c:pt>
                <c:pt idx="289">
                  <c:v>43843.041666666664</c:v>
                </c:pt>
                <c:pt idx="290">
                  <c:v>43843.083333333336</c:v>
                </c:pt>
                <c:pt idx="291">
                  <c:v>43843.125</c:v>
                </c:pt>
                <c:pt idx="292">
                  <c:v>43843.166666666664</c:v>
                </c:pt>
                <c:pt idx="293">
                  <c:v>43843.208333333336</c:v>
                </c:pt>
                <c:pt idx="294">
                  <c:v>43843.25</c:v>
                </c:pt>
                <c:pt idx="295">
                  <c:v>43843.291666666664</c:v>
                </c:pt>
                <c:pt idx="296">
                  <c:v>43843.333333333336</c:v>
                </c:pt>
                <c:pt idx="297">
                  <c:v>43843.375</c:v>
                </c:pt>
                <c:pt idx="298">
                  <c:v>43843.416666666664</c:v>
                </c:pt>
                <c:pt idx="299">
                  <c:v>43843.458333333336</c:v>
                </c:pt>
                <c:pt idx="300">
                  <c:v>43843.5</c:v>
                </c:pt>
                <c:pt idx="301">
                  <c:v>43843.541666666664</c:v>
                </c:pt>
                <c:pt idx="302">
                  <c:v>43843.583333333336</c:v>
                </c:pt>
                <c:pt idx="303">
                  <c:v>43843.625</c:v>
                </c:pt>
                <c:pt idx="304">
                  <c:v>43843.666666666664</c:v>
                </c:pt>
                <c:pt idx="305">
                  <c:v>43843.708333333336</c:v>
                </c:pt>
                <c:pt idx="306">
                  <c:v>43843.75</c:v>
                </c:pt>
                <c:pt idx="307">
                  <c:v>43843.791666666664</c:v>
                </c:pt>
                <c:pt idx="308">
                  <c:v>43843.833333333336</c:v>
                </c:pt>
                <c:pt idx="309">
                  <c:v>43843.875</c:v>
                </c:pt>
                <c:pt idx="310">
                  <c:v>43843.916666666664</c:v>
                </c:pt>
                <c:pt idx="311">
                  <c:v>43843.958333333336</c:v>
                </c:pt>
                <c:pt idx="312">
                  <c:v>43844</c:v>
                </c:pt>
                <c:pt idx="313">
                  <c:v>43844.041666666664</c:v>
                </c:pt>
                <c:pt idx="314">
                  <c:v>43844.083333333336</c:v>
                </c:pt>
                <c:pt idx="315">
                  <c:v>43844.125</c:v>
                </c:pt>
                <c:pt idx="316">
                  <c:v>43844.166666666664</c:v>
                </c:pt>
                <c:pt idx="317">
                  <c:v>43844.208333333336</c:v>
                </c:pt>
                <c:pt idx="318">
                  <c:v>43844.25</c:v>
                </c:pt>
                <c:pt idx="319">
                  <c:v>43844.291666666664</c:v>
                </c:pt>
                <c:pt idx="320">
                  <c:v>43844.333333333336</c:v>
                </c:pt>
                <c:pt idx="321">
                  <c:v>43844.375</c:v>
                </c:pt>
                <c:pt idx="322">
                  <c:v>43844.416666666664</c:v>
                </c:pt>
                <c:pt idx="323">
                  <c:v>43844.458333333336</c:v>
                </c:pt>
                <c:pt idx="324">
                  <c:v>43844.5</c:v>
                </c:pt>
                <c:pt idx="325">
                  <c:v>43844.541666666664</c:v>
                </c:pt>
                <c:pt idx="326">
                  <c:v>43844.583333333336</c:v>
                </c:pt>
                <c:pt idx="327">
                  <c:v>43844.625</c:v>
                </c:pt>
                <c:pt idx="328">
                  <c:v>43844.666666666664</c:v>
                </c:pt>
                <c:pt idx="329">
                  <c:v>43844.708333333336</c:v>
                </c:pt>
                <c:pt idx="330">
                  <c:v>43844.75</c:v>
                </c:pt>
                <c:pt idx="331">
                  <c:v>43844.791666666664</c:v>
                </c:pt>
                <c:pt idx="332">
                  <c:v>43844.833333333336</c:v>
                </c:pt>
                <c:pt idx="333">
                  <c:v>43844.875</c:v>
                </c:pt>
                <c:pt idx="334">
                  <c:v>43844.916666666664</c:v>
                </c:pt>
                <c:pt idx="335">
                  <c:v>43844.958333333336</c:v>
                </c:pt>
                <c:pt idx="336" formatCode="General">
                  <c:v>43845</c:v>
                </c:pt>
                <c:pt idx="337" formatCode="General">
                  <c:v>43845.041666666664</c:v>
                </c:pt>
                <c:pt idx="338" formatCode="General">
                  <c:v>43845.083333333336</c:v>
                </c:pt>
                <c:pt idx="339" formatCode="General">
                  <c:v>43845.125</c:v>
                </c:pt>
                <c:pt idx="340" formatCode="General">
                  <c:v>43845.166666666664</c:v>
                </c:pt>
                <c:pt idx="341" formatCode="General">
                  <c:v>43845.208333333336</c:v>
                </c:pt>
                <c:pt idx="342" formatCode="General">
                  <c:v>43845.25</c:v>
                </c:pt>
                <c:pt idx="343" formatCode="General">
                  <c:v>43845.291666666664</c:v>
                </c:pt>
                <c:pt idx="344" formatCode="General">
                  <c:v>43845.333333333336</c:v>
                </c:pt>
                <c:pt idx="345" formatCode="General">
                  <c:v>43845.375</c:v>
                </c:pt>
                <c:pt idx="346" formatCode="General">
                  <c:v>43845.416666666664</c:v>
                </c:pt>
                <c:pt idx="347" formatCode="General">
                  <c:v>43845.458333333336</c:v>
                </c:pt>
                <c:pt idx="348" formatCode="General">
                  <c:v>43845.5</c:v>
                </c:pt>
                <c:pt idx="349" formatCode="General">
                  <c:v>43845.541666666664</c:v>
                </c:pt>
                <c:pt idx="350" formatCode="General">
                  <c:v>43845.583333333336</c:v>
                </c:pt>
                <c:pt idx="351" formatCode="General">
                  <c:v>43845.625</c:v>
                </c:pt>
                <c:pt idx="352" formatCode="General">
                  <c:v>43845.666666666664</c:v>
                </c:pt>
                <c:pt idx="353" formatCode="General">
                  <c:v>43845.708333333336</c:v>
                </c:pt>
                <c:pt idx="354" formatCode="General">
                  <c:v>43845.75</c:v>
                </c:pt>
                <c:pt idx="355" formatCode="General">
                  <c:v>43845.791666666664</c:v>
                </c:pt>
                <c:pt idx="356" formatCode="General">
                  <c:v>43845.833333333336</c:v>
                </c:pt>
                <c:pt idx="357" formatCode="General">
                  <c:v>43845.875</c:v>
                </c:pt>
                <c:pt idx="358" formatCode="General">
                  <c:v>43845.916666666664</c:v>
                </c:pt>
                <c:pt idx="359" formatCode="General">
                  <c:v>43845.958333333336</c:v>
                </c:pt>
              </c:numCache>
            </c:numRef>
          </c:xVal>
          <c:yVal>
            <c:numRef>
              <c:f>[0]!_chartDelta</c:f>
              <c:numCache>
                <c:formatCode>General</c:formatCode>
                <c:ptCount val="360"/>
                <c:pt idx="0">
                  <c:v>0.10292405268355032</c:v>
                </c:pt>
                <c:pt idx="1">
                  <c:v>4.4676438686577835E-2</c:v>
                </c:pt>
                <c:pt idx="2">
                  <c:v>3.2092829878426016E-2</c:v>
                </c:pt>
                <c:pt idx="3">
                  <c:v>0.12286086826644728</c:v>
                </c:pt>
                <c:pt idx="4">
                  <c:v>0.10247587369512309</c:v>
                </c:pt>
                <c:pt idx="5">
                  <c:v>9.1880385393271979E-2</c:v>
                </c:pt>
                <c:pt idx="6">
                  <c:v>7.0731419215154995E-2</c:v>
                </c:pt>
                <c:pt idx="7">
                  <c:v>3.7558366450487435E-2</c:v>
                </c:pt>
                <c:pt idx="8">
                  <c:v>5.0994303664067334E-2</c:v>
                </c:pt>
                <c:pt idx="9">
                  <c:v>0.12242258701351375</c:v>
                </c:pt>
                <c:pt idx="10">
                  <c:v>6.5515405882732941E-2</c:v>
                </c:pt>
                <c:pt idx="11">
                  <c:v>5.5749675384990371E-2</c:v>
                </c:pt>
                <c:pt idx="12">
                  <c:v>3.3230558380250519E-2</c:v>
                </c:pt>
                <c:pt idx="13">
                  <c:v>-1.4175155935566564E-2</c:v>
                </c:pt>
                <c:pt idx="14">
                  <c:v>-2.8883427767415704E-2</c:v>
                </c:pt>
                <c:pt idx="15">
                  <c:v>6.0480370203416345E-2</c:v>
                </c:pt>
                <c:pt idx="16">
                  <c:v>3.9792282517631658E-2</c:v>
                </c:pt>
                <c:pt idx="17">
                  <c:v>-8.017554826500406E-3</c:v>
                </c:pt>
                <c:pt idx="18">
                  <c:v>-4.4403250116858528E-2</c:v>
                </c:pt>
                <c:pt idx="19">
                  <c:v>-9.2895513520019513E-2</c:v>
                </c:pt>
                <c:pt idx="20">
                  <c:v>-0.10305947105646554</c:v>
                </c:pt>
                <c:pt idx="21">
                  <c:v>-4.8697571461658734E-3</c:v>
                </c:pt>
                <c:pt idx="22">
                  <c:v>0.10343351211072119</c:v>
                </c:pt>
                <c:pt idx="23">
                  <c:v>7.4562338291554731E-2</c:v>
                </c:pt>
                <c:pt idx="24">
                  <c:v>4.9568620321918777E-2</c:v>
                </c:pt>
                <c:pt idx="25">
                  <c:v>-2.9738741509841571E-3</c:v>
                </c:pt>
                <c:pt idx="26">
                  <c:v>-4.0945920875309821E-2</c:v>
                </c:pt>
                <c:pt idx="27">
                  <c:v>1.4809711793772815E-2</c:v>
                </c:pt>
                <c:pt idx="28">
                  <c:v>0.11048526248071293</c:v>
                </c:pt>
                <c:pt idx="29">
                  <c:v>6.4426962835128498E-2</c:v>
                </c:pt>
                <c:pt idx="30">
                  <c:v>3.8896069481143047E-2</c:v>
                </c:pt>
                <c:pt idx="31">
                  <c:v>-1.0627824442192624E-2</c:v>
                </c:pt>
                <c:pt idx="32">
                  <c:v>-5.2008891739896534E-2</c:v>
                </c:pt>
                <c:pt idx="33">
                  <c:v>-7.0275413654821983E-3</c:v>
                </c:pt>
                <c:pt idx="34">
                  <c:v>9.0089158002594732E-2</c:v>
                </c:pt>
                <c:pt idx="35">
                  <c:v>4.1907449960129434E-2</c:v>
                </c:pt>
                <c:pt idx="36">
                  <c:v>2.5269983032183918E-2</c:v>
                </c:pt>
                <c:pt idx="37">
                  <c:v>-1.4843066618995537E-2</c:v>
                </c:pt>
                <c:pt idx="38">
                  <c:v>-5.6787374723994755E-2</c:v>
                </c:pt>
                <c:pt idx="39">
                  <c:v>-2.181182839876529E-2</c:v>
                </c:pt>
                <c:pt idx="40">
                  <c:v>4.4528162516825412E-2</c:v>
                </c:pt>
                <c:pt idx="41">
                  <c:v>-1.1845280238312716E-2</c:v>
                </c:pt>
                <c:pt idx="42">
                  <c:v>-1.4787611788433852E-2</c:v>
                </c:pt>
                <c:pt idx="43">
                  <c:v>-2.8393720951713108E-2</c:v>
                </c:pt>
                <c:pt idx="44">
                  <c:v>-4.8225234719513677E-2</c:v>
                </c:pt>
                <c:pt idx="45">
                  <c:v>-1.4695171736093804E-3</c:v>
                </c:pt>
                <c:pt idx="46">
                  <c:v>9.7020344529734348E-2</c:v>
                </c:pt>
                <c:pt idx="47">
                  <c:v>1.3275345577980741E-2</c:v>
                </c:pt>
                <c:pt idx="48">
                  <c:v>-1.0649195322653016E-2</c:v>
                </c:pt>
                <c:pt idx="49">
                  <c:v>-4.2956462086084501E-2</c:v>
                </c:pt>
                <c:pt idx="50">
                  <c:v>-8.6838129086147964E-2</c:v>
                </c:pt>
                <c:pt idx="51">
                  <c:v>-7.3169147484796609E-2</c:v>
                </c:pt>
                <c:pt idx="52">
                  <c:v>6.9671062248131993E-2</c:v>
                </c:pt>
                <c:pt idx="53">
                  <c:v>6.2912606492206563E-2</c:v>
                </c:pt>
                <c:pt idx="54">
                  <c:v>1.8095937769814718E-2</c:v>
                </c:pt>
                <c:pt idx="55">
                  <c:v>-2.7102334209542445E-2</c:v>
                </c:pt>
                <c:pt idx="56">
                  <c:v>-9.3297568212304449E-2</c:v>
                </c:pt>
                <c:pt idx="57">
                  <c:v>-0.11918885022653808</c:v>
                </c:pt>
                <c:pt idx="58">
                  <c:v>-2.4563786429214279E-2</c:v>
                </c:pt>
                <c:pt idx="59">
                  <c:v>5.357744534024407E-2</c:v>
                </c:pt>
                <c:pt idx="60">
                  <c:v>1.9580899866055712E-2</c:v>
                </c:pt>
                <c:pt idx="61">
                  <c:v>-2.7788917301635463E-3</c:v>
                </c:pt>
                <c:pt idx="62">
                  <c:v>-4.6204755496792954E-2</c:v>
                </c:pt>
                <c:pt idx="63">
                  <c:v>-5.9738739724485623E-2</c:v>
                </c:pt>
                <c:pt idx="64">
                  <c:v>4.0799270452575261E-2</c:v>
                </c:pt>
                <c:pt idx="65">
                  <c:v>-4.0545900136815735E-2</c:v>
                </c:pt>
                <c:pt idx="66">
                  <c:v>-3.6394438175316124E-2</c:v>
                </c:pt>
                <c:pt idx="67">
                  <c:v>-5.3088941470358919E-3</c:v>
                </c:pt>
                <c:pt idx="68">
                  <c:v>4.9566145194451794E-3</c:v>
                </c:pt>
                <c:pt idx="69">
                  <c:v>2.8424768615141371E-2</c:v>
                </c:pt>
                <c:pt idx="70">
                  <c:v>0.14507393801587226</c:v>
                </c:pt>
                <c:pt idx="71">
                  <c:v>-1.1509191504951749E-2</c:v>
                </c:pt>
                <c:pt idx="72">
                  <c:v>-6.8036559427373189E-2</c:v>
                </c:pt>
                <c:pt idx="73">
                  <c:v>-8.4007222049664876E-2</c:v>
                </c:pt>
                <c:pt idx="74">
                  <c:v>-0.11000226232975979</c:v>
                </c:pt>
                <c:pt idx="75">
                  <c:v>-0.12235784261031993</c:v>
                </c:pt>
                <c:pt idx="76">
                  <c:v>-3.7721781176689478E-2</c:v>
                </c:pt>
                <c:pt idx="77">
                  <c:v>0.10964803106222029</c:v>
                </c:pt>
                <c:pt idx="78">
                  <c:v>1.5656671756978519E-2</c:v>
                </c:pt>
                <c:pt idx="79">
                  <c:v>-3.1907457163860786E-2</c:v>
                </c:pt>
                <c:pt idx="80">
                  <c:v>-9.4380916634358214E-2</c:v>
                </c:pt>
                <c:pt idx="81">
                  <c:v>-0.1603219625564139</c:v>
                </c:pt>
                <c:pt idx="82">
                  <c:v>-0.14754548749755317</c:v>
                </c:pt>
                <c:pt idx="83">
                  <c:v>1.7807867906226224E-3</c:v>
                </c:pt>
                <c:pt idx="84">
                  <c:v>2.7992867818736514E-2</c:v>
                </c:pt>
                <c:pt idx="85">
                  <c:v>8.7623459877644028E-3</c:v>
                </c:pt>
                <c:pt idx="86">
                  <c:v>-1.6317038103509651E-2</c:v>
                </c:pt>
                <c:pt idx="87">
                  <c:v>-4.8539583455484037E-2</c:v>
                </c:pt>
                <c:pt idx="88">
                  <c:v>-1.484070107700778E-2</c:v>
                </c:pt>
                <c:pt idx="89">
                  <c:v>-6.0687966682356112E-2</c:v>
                </c:pt>
                <c:pt idx="90">
                  <c:v>-9.004645784601209E-2</c:v>
                </c:pt>
                <c:pt idx="91">
                  <c:v>-3.5600242883140176E-2</c:v>
                </c:pt>
                <c:pt idx="92">
                  <c:v>2.2566519967262944E-2</c:v>
                </c:pt>
                <c:pt idx="93">
                  <c:v>6.3467076783340931E-2</c:v>
                </c:pt>
                <c:pt idx="94">
                  <c:v>0.14232411208206008</c:v>
                </c:pt>
                <c:pt idx="95">
                  <c:v>1.9784011081067393E-2</c:v>
                </c:pt>
                <c:pt idx="96">
                  <c:v>-9.891417224026211E-2</c:v>
                </c:pt>
                <c:pt idx="97">
                  <c:v>-0.12346926696462479</c:v>
                </c:pt>
                <c:pt idx="98">
                  <c:v>-0.12596733294920193</c:v>
                </c:pt>
                <c:pt idx="99">
                  <c:v>-0.135291682369169</c:v>
                </c:pt>
                <c:pt idx="100">
                  <c:v>-9.7954336433094424E-2</c:v>
                </c:pt>
                <c:pt idx="101">
                  <c:v>5.702072937999457E-2</c:v>
                </c:pt>
                <c:pt idx="102">
                  <c:v>5.0293638291110193E-2</c:v>
                </c:pt>
                <c:pt idx="103">
                  <c:v>-2.7267466484543201E-2</c:v>
                </c:pt>
                <c:pt idx="104">
                  <c:v>-8.0284016716802575E-2</c:v>
                </c:pt>
                <c:pt idx="105">
                  <c:v>-0.15053404958972522</c:v>
                </c:pt>
                <c:pt idx="106">
                  <c:v>-0.19300583806416827</c:v>
                </c:pt>
                <c:pt idx="107">
                  <c:v>-0.13044261666991736</c:v>
                </c:pt>
                <c:pt idx="108">
                  <c:v>5.8428886487210008E-2</c:v>
                </c:pt>
                <c:pt idx="109">
                  <c:v>2.3635943305284957E-2</c:v>
                </c:pt>
                <c:pt idx="110">
                  <c:v>1.67907755740552E-2</c:v>
                </c:pt>
                <c:pt idx="111">
                  <c:v>-4.749041458321529E-3</c:v>
                </c:pt>
                <c:pt idx="112">
                  <c:v>-1.1623013400231766E-2</c:v>
                </c:pt>
                <c:pt idx="113">
                  <c:v>-4.4664653615877133E-2</c:v>
                </c:pt>
                <c:pt idx="114">
                  <c:v>-0.13773193677931711</c:v>
                </c:pt>
                <c:pt idx="115">
                  <c:v>-0.10265563559190469</c:v>
                </c:pt>
                <c:pt idx="116">
                  <c:v>-1.0524761101023239E-2</c:v>
                </c:pt>
                <c:pt idx="117">
                  <c:v>7.00994842414569E-2</c:v>
                </c:pt>
                <c:pt idx="118">
                  <c:v>0.1478596271163613</c:v>
                </c:pt>
                <c:pt idx="119">
                  <c:v>0.10254318287337855</c:v>
                </c:pt>
                <c:pt idx="120">
                  <c:v>-8.6640677285116346E-2</c:v>
                </c:pt>
                <c:pt idx="121">
                  <c:v>-0.15145657533597201</c:v>
                </c:pt>
                <c:pt idx="122">
                  <c:v>-0.14405787993917862</c:v>
                </c:pt>
                <c:pt idx="123">
                  <c:v>-0.13117788293404442</c:v>
                </c:pt>
                <c:pt idx="124">
                  <c:v>-0.11145922041131678</c:v>
                </c:pt>
                <c:pt idx="125">
                  <c:v>-2.20029373854079E-2</c:v>
                </c:pt>
                <c:pt idx="126">
                  <c:v>0.1405160343953322</c:v>
                </c:pt>
                <c:pt idx="127">
                  <c:v>2.6215961709107616E-3</c:v>
                </c:pt>
                <c:pt idx="128">
                  <c:v>-6.2142670476077244E-2</c:v>
                </c:pt>
                <c:pt idx="129">
                  <c:v>-0.11982527804133497</c:v>
                </c:pt>
                <c:pt idx="130">
                  <c:v>-0.18110320639400579</c:v>
                </c:pt>
                <c:pt idx="131">
                  <c:v>-0.1863895967364306</c:v>
                </c:pt>
                <c:pt idx="132">
                  <c:v>-7.5629764327334079E-2</c:v>
                </c:pt>
                <c:pt idx="133">
                  <c:v>5.7171047230696409E-2</c:v>
                </c:pt>
                <c:pt idx="134">
                  <c:v>4.9034672982559202E-2</c:v>
                </c:pt>
                <c:pt idx="135">
                  <c:v>4.9040452326482353E-2</c:v>
                </c:pt>
                <c:pt idx="136">
                  <c:v>3.6641093107638051E-2</c:v>
                </c:pt>
                <c:pt idx="137">
                  <c:v>5.8073357091901444E-3</c:v>
                </c:pt>
                <c:pt idx="138">
                  <c:v>-0.14869195305290472</c:v>
                </c:pt>
                <c:pt idx="139">
                  <c:v>-0.17068473483694174</c:v>
                </c:pt>
                <c:pt idx="140">
                  <c:v>-8.4518962360282696E-2</c:v>
                </c:pt>
                <c:pt idx="141">
                  <c:v>3.240489201026503E-2</c:v>
                </c:pt>
                <c:pt idx="142">
                  <c:v>0.13717711847806993</c:v>
                </c:pt>
                <c:pt idx="143">
                  <c:v>0.20483561465000288</c:v>
                </c:pt>
                <c:pt idx="144">
                  <c:v>-3.0040878123563791E-2</c:v>
                </c:pt>
                <c:pt idx="145">
                  <c:v>-0.15044641650324525</c:v>
                </c:pt>
                <c:pt idx="146">
                  <c:v>-0.16231357219004433</c:v>
                </c:pt>
                <c:pt idx="147">
                  <c:v>-0.13108538343678022</c:v>
                </c:pt>
                <c:pt idx="148">
                  <c:v>-0.10153704695833982</c:v>
                </c:pt>
                <c:pt idx="149">
                  <c:v>-4.9205735307100373E-2</c:v>
                </c:pt>
                <c:pt idx="150">
                  <c:v>8.5581001760130157E-2</c:v>
                </c:pt>
                <c:pt idx="151">
                  <c:v>7.8876864133020488E-2</c:v>
                </c:pt>
                <c:pt idx="152">
                  <c:v>-2.8736924753025916E-2</c:v>
                </c:pt>
                <c:pt idx="153">
                  <c:v>-8.6440603203849053E-2</c:v>
                </c:pt>
                <c:pt idx="154">
                  <c:v>-0.14323916096563216</c:v>
                </c:pt>
                <c:pt idx="155">
                  <c:v>-0.18128996390401114</c:v>
                </c:pt>
                <c:pt idx="156">
                  <c:v>-0.14301471002673413</c:v>
                </c:pt>
                <c:pt idx="157">
                  <c:v>-3.9777759055930062E-3</c:v>
                </c:pt>
                <c:pt idx="158">
                  <c:v>8.7241674666327471E-2</c:v>
                </c:pt>
                <c:pt idx="159">
                  <c:v>0.10106425141053449</c:v>
                </c:pt>
                <c:pt idx="160">
                  <c:v>0.1048985675395695</c:v>
                </c:pt>
                <c:pt idx="161">
                  <c:v>6.7278119568323955E-2</c:v>
                </c:pt>
                <c:pt idx="162">
                  <c:v>-0.11678142946490083</c:v>
                </c:pt>
                <c:pt idx="163">
                  <c:v>-0.20544170465446648</c:v>
                </c:pt>
                <c:pt idx="164">
                  <c:v>-0.16530769678585241</c:v>
                </c:pt>
                <c:pt idx="165">
                  <c:v>-4.4813165183500259E-2</c:v>
                </c:pt>
                <c:pt idx="166">
                  <c:v>8.9654187419880127E-2</c:v>
                </c:pt>
                <c:pt idx="167">
                  <c:v>0.22249496405479061</c:v>
                </c:pt>
                <c:pt idx="168">
                  <c:v>5.1288441220048692E-2</c:v>
                </c:pt>
                <c:pt idx="169">
                  <c:v>-0.11621327617507587</c:v>
                </c:pt>
                <c:pt idx="170">
                  <c:v>-0.16925527600336454</c:v>
                </c:pt>
                <c:pt idx="171">
                  <c:v>-0.14299189785923483</c:v>
                </c:pt>
                <c:pt idx="172">
                  <c:v>-9.6862831706860719E-2</c:v>
                </c:pt>
                <c:pt idx="173">
                  <c:v>-5.0570049668659411E-2</c:v>
                </c:pt>
                <c:pt idx="174">
                  <c:v>3.2842811946747846E-2</c:v>
                </c:pt>
                <c:pt idx="175">
                  <c:v>0.19220578302415015</c:v>
                </c:pt>
                <c:pt idx="176">
                  <c:v>4.2282836902862331E-2</c:v>
                </c:pt>
                <c:pt idx="177">
                  <c:v>-4.4363848463477518E-2</c:v>
                </c:pt>
                <c:pt idx="178">
                  <c:v>-0.10001295501783997</c:v>
                </c:pt>
                <c:pt idx="179">
                  <c:v>-0.14643729130492766</c:v>
                </c:pt>
                <c:pt idx="180">
                  <c:v>-0.15205606567559993</c:v>
                </c:pt>
                <c:pt idx="181">
                  <c:v>-7.8522988981254399E-2</c:v>
                </c:pt>
                <c:pt idx="182">
                  <c:v>6.0021240605199463E-2</c:v>
                </c:pt>
                <c:pt idx="183">
                  <c:v>0.15179111097969675</c:v>
                </c:pt>
                <c:pt idx="184">
                  <c:v>0.17205138635799169</c:v>
                </c:pt>
                <c:pt idx="185">
                  <c:v>0.11040671667468552</c:v>
                </c:pt>
                <c:pt idx="186">
                  <c:v>-6.0363424773354546E-2</c:v>
                </c:pt>
                <c:pt idx="187">
                  <c:v>-0.19361172289277931</c:v>
                </c:pt>
                <c:pt idx="188">
                  <c:v>-0.21697863301573445</c:v>
                </c:pt>
                <c:pt idx="189">
                  <c:v>-0.13272868816453007</c:v>
                </c:pt>
                <c:pt idx="190">
                  <c:v>4.9225302633612578E-3</c:v>
                </c:pt>
                <c:pt idx="191">
                  <c:v>0.15439806457535385</c:v>
                </c:pt>
                <c:pt idx="192">
                  <c:v>0.12986046012063593</c:v>
                </c:pt>
                <c:pt idx="193">
                  <c:v>-5.3815700185171289E-2</c:v>
                </c:pt>
                <c:pt idx="194">
                  <c:v>-0.1496516968529043</c:v>
                </c:pt>
                <c:pt idx="195">
                  <c:v>-0.15259035365602347</c:v>
                </c:pt>
                <c:pt idx="196">
                  <c:v>-0.10825614455539234</c:v>
                </c:pt>
                <c:pt idx="197">
                  <c:v>-5.6893846511009039E-2</c:v>
                </c:pt>
                <c:pt idx="198">
                  <c:v>4.306140725899632E-3</c:v>
                </c:pt>
                <c:pt idx="199">
                  <c:v>0.1094897861102882</c:v>
                </c:pt>
                <c:pt idx="200">
                  <c:v>0.16685658905021086</c:v>
                </c:pt>
                <c:pt idx="201">
                  <c:v>3.0326488065572421E-2</c:v>
                </c:pt>
                <c:pt idx="202">
                  <c:v>-4.811376941427789E-2</c:v>
                </c:pt>
                <c:pt idx="203">
                  <c:v>-0.10258946106209935</c:v>
                </c:pt>
                <c:pt idx="204">
                  <c:v>-0.1290904138548096</c:v>
                </c:pt>
                <c:pt idx="205">
                  <c:v>-0.10303942816593389</c:v>
                </c:pt>
                <c:pt idx="206">
                  <c:v>-1.5042461983732047E-2</c:v>
                </c:pt>
                <c:pt idx="207">
                  <c:v>9.6216987593769177E-2</c:v>
                </c:pt>
                <c:pt idx="208">
                  <c:v>0.15854186276827104</c:v>
                </c:pt>
                <c:pt idx="209">
                  <c:v>0.1197384069900832</c:v>
                </c:pt>
                <c:pt idx="210">
                  <c:v>-4.3736578663852443E-3</c:v>
                </c:pt>
                <c:pt idx="211">
                  <c:v>-0.14281635794667219</c:v>
                </c:pt>
                <c:pt idx="212">
                  <c:v>-0.21632714606211634</c:v>
                </c:pt>
                <c:pt idx="213">
                  <c:v>-0.19210353023672044</c:v>
                </c:pt>
                <c:pt idx="214">
                  <c:v>-8.7999089604157171E-2</c:v>
                </c:pt>
                <c:pt idx="215">
                  <c:v>5.6429933602170523E-2</c:v>
                </c:pt>
                <c:pt idx="216">
                  <c:v>0.1867570506133952</c:v>
                </c:pt>
                <c:pt idx="217">
                  <c:v>2.3107975096915256E-2</c:v>
                </c:pt>
                <c:pt idx="218">
                  <c:v>-9.5595237164126212E-2</c:v>
                </c:pt>
                <c:pt idx="219">
                  <c:v>-0.13737275343456068</c:v>
                </c:pt>
                <c:pt idx="220">
                  <c:v>-0.11965710636412852</c:v>
                </c:pt>
                <c:pt idx="221">
                  <c:v>-7.7999059394863735E-2</c:v>
                </c:pt>
                <c:pt idx="222">
                  <c:v>-2.5762777219300481E-2</c:v>
                </c:pt>
                <c:pt idx="223">
                  <c:v>4.9343894755011553E-2</c:v>
                </c:pt>
                <c:pt idx="224">
                  <c:v>0.1620080951279867</c:v>
                </c:pt>
                <c:pt idx="225">
                  <c:v>0.15783761605332619</c:v>
                </c:pt>
                <c:pt idx="226">
                  <c:v>3.5329754007150244E-2</c:v>
                </c:pt>
                <c:pt idx="227">
                  <c:v>-4.5822934194707288E-2</c:v>
                </c:pt>
                <c:pt idx="228">
                  <c:v>-9.3031875324374291E-2</c:v>
                </c:pt>
                <c:pt idx="229">
                  <c:v>-9.6076913733848718E-2</c:v>
                </c:pt>
                <c:pt idx="230">
                  <c:v>-4.7769615407142307E-2</c:v>
                </c:pt>
                <c:pt idx="231">
                  <c:v>3.2544531749128774E-2</c:v>
                </c:pt>
                <c:pt idx="232">
                  <c:v>9.7210091728831827E-2</c:v>
                </c:pt>
                <c:pt idx="233">
                  <c:v>9.9972586504741376E-2</c:v>
                </c:pt>
                <c:pt idx="234">
                  <c:v>3.0362159841963499E-2</c:v>
                </c:pt>
                <c:pt idx="235">
                  <c:v>-7.6773808547605335E-2</c:v>
                </c:pt>
                <c:pt idx="236">
                  <c:v>-0.16343799928497529</c:v>
                </c:pt>
                <c:pt idx="237">
                  <c:v>-0.1890835632394964</c:v>
                </c:pt>
                <c:pt idx="238">
                  <c:v>-0.14396111231789854</c:v>
                </c:pt>
                <c:pt idx="239">
                  <c:v>-4.2801615475615201E-2</c:v>
                </c:pt>
                <c:pt idx="240">
                  <c:v>9.8550731031348288E-2</c:v>
                </c:pt>
                <c:pt idx="241">
                  <c:v>9.5604860131653036E-2</c:v>
                </c:pt>
                <c:pt idx="242">
                  <c:v>-1.1741185283399375E-2</c:v>
                </c:pt>
                <c:pt idx="243">
                  <c:v>-7.6218945720219367E-2</c:v>
                </c:pt>
                <c:pt idx="244">
                  <c:v>-9.7223420511765246E-2</c:v>
                </c:pt>
                <c:pt idx="245">
                  <c:v>-8.8205488578557256E-2</c:v>
                </c:pt>
                <c:pt idx="246">
                  <c:v>-6.0196234869143772E-2</c:v>
                </c:pt>
                <c:pt idx="247">
                  <c:v>-9.515349151659358E-3</c:v>
                </c:pt>
                <c:pt idx="248">
                  <c:v>7.2603490498569373E-2</c:v>
                </c:pt>
                <c:pt idx="249">
                  <c:v>0.17773948807918383</c:v>
                </c:pt>
                <c:pt idx="250">
                  <c:v>0.16959241424386415</c:v>
                </c:pt>
                <c:pt idx="251">
                  <c:v>4.4062228003396875E-2</c:v>
                </c:pt>
                <c:pt idx="252">
                  <c:v>-4.076091048282493E-2</c:v>
                </c:pt>
                <c:pt idx="253">
                  <c:v>-7.4433161991185798E-2</c:v>
                </c:pt>
                <c:pt idx="254">
                  <c:v>-5.5115399153470107E-2</c:v>
                </c:pt>
                <c:pt idx="255">
                  <c:v>-6.2047908479853642E-4</c:v>
                </c:pt>
                <c:pt idx="256">
                  <c:v>5.3884255893994509E-2</c:v>
                </c:pt>
                <c:pt idx="257">
                  <c:v>7.3300603161197631E-2</c:v>
                </c:pt>
                <c:pt idx="258">
                  <c:v>4.451444824018766E-2</c:v>
                </c:pt>
                <c:pt idx="259">
                  <c:v>-1.5249548745639385E-2</c:v>
                </c:pt>
                <c:pt idx="260">
                  <c:v>-7.7940318235983463E-2</c:v>
                </c:pt>
                <c:pt idx="261">
                  <c:v>-0.11777582721880192</c:v>
                </c:pt>
                <c:pt idx="262">
                  <c:v>-0.12307339760345291</c:v>
                </c:pt>
                <c:pt idx="263">
                  <c:v>-8.9612918195427521E-2</c:v>
                </c:pt>
                <c:pt idx="264">
                  <c:v>-8.7042810633405354E-3</c:v>
                </c:pt>
                <c:pt idx="265">
                  <c:v>0.12480623539476181</c:v>
                </c:pt>
                <c:pt idx="266">
                  <c:v>8.2619120899339468E-2</c:v>
                </c:pt>
                <c:pt idx="267">
                  <c:v>2.8756935128347705E-2</c:v>
                </c:pt>
                <c:pt idx="268">
                  <c:v>-1.3962853003233078E-2</c:v>
                </c:pt>
                <c:pt idx="269">
                  <c:v>-4.9336292486911737E-2</c:v>
                </c:pt>
                <c:pt idx="270">
                  <c:v>-6.9319177148137456E-2</c:v>
                </c:pt>
                <c:pt idx="271">
                  <c:v>-5.8395202021317372E-2</c:v>
                </c:pt>
                <c:pt idx="272">
                  <c:v>-5.8033603403189193E-3</c:v>
                </c:pt>
                <c:pt idx="273">
                  <c:v>7.6206114353177562E-2</c:v>
                </c:pt>
                <c:pt idx="274">
                  <c:v>0.16158586347565609</c:v>
                </c:pt>
                <c:pt idx="275">
                  <c:v>0.18419312049702002</c:v>
                </c:pt>
                <c:pt idx="276">
                  <c:v>4.7250222457868293E-2</c:v>
                </c:pt>
                <c:pt idx="277">
                  <c:v>-3.5556926516520537E-2</c:v>
                </c:pt>
                <c:pt idx="278">
                  <c:v>-5.1472465113202193E-2</c:v>
                </c:pt>
                <c:pt idx="279">
                  <c:v>-1.5506378504161283E-2</c:v>
                </c:pt>
                <c:pt idx="280">
                  <c:v>3.0544313666424933E-2</c:v>
                </c:pt>
                <c:pt idx="281">
                  <c:v>5.5138804729292834E-2</c:v>
                </c:pt>
                <c:pt idx="282">
                  <c:v>4.9849216831696908E-2</c:v>
                </c:pt>
                <c:pt idx="283">
                  <c:v>3.0922359312563985E-2</c:v>
                </c:pt>
                <c:pt idx="284">
                  <c:v>1.5027121768436874E-2</c:v>
                </c:pt>
                <c:pt idx="285">
                  <c:v>4.5083105731205109E-3</c:v>
                </c:pt>
                <c:pt idx="286">
                  <c:v>-1.1760232945640853E-2</c:v>
                </c:pt>
                <c:pt idx="287">
                  <c:v>-3.3719360035363286E-2</c:v>
                </c:pt>
                <c:pt idx="288">
                  <c:v>-3.9383589564054161E-2</c:v>
                </c:pt>
                <c:pt idx="289">
                  <c:v>7.9374677934061777E-3</c:v>
                </c:pt>
                <c:pt idx="290">
                  <c:v>0.12513837783442902</c:v>
                </c:pt>
                <c:pt idx="291">
                  <c:v>0.15080655901976758</c:v>
                </c:pt>
                <c:pt idx="292">
                  <c:v>0.12614458813282906</c:v>
                </c:pt>
                <c:pt idx="293">
                  <c:v>6.693241836886682E-2</c:v>
                </c:pt>
                <c:pt idx="294">
                  <c:v>-9.8869866911302506E-3</c:v>
                </c:pt>
                <c:pt idx="295">
                  <c:v>-6.5347211239164038E-2</c:v>
                </c:pt>
                <c:pt idx="296">
                  <c:v>-6.3330352597051887E-2</c:v>
                </c:pt>
                <c:pt idx="297">
                  <c:v>-8.8121940015294942E-3</c:v>
                </c:pt>
                <c:pt idx="298">
                  <c:v>6.5850149295942156E-2</c:v>
                </c:pt>
                <c:pt idx="299">
                  <c:v>0.12943743013179682</c:v>
                </c:pt>
                <c:pt idx="300">
                  <c:v>0.17760126954831021</c:v>
                </c:pt>
                <c:pt idx="301">
                  <c:v>3.6444368638653218E-2</c:v>
                </c:pt>
                <c:pt idx="302">
                  <c:v>-3.5423554856343353E-2</c:v>
                </c:pt>
                <c:pt idx="303">
                  <c:v>-2.8684099153450909E-2</c:v>
                </c:pt>
                <c:pt idx="304">
                  <c:v>1.3709838376421313E-2</c:v>
                </c:pt>
                <c:pt idx="305">
                  <c:v>4.5529977015214634E-2</c:v>
                </c:pt>
                <c:pt idx="306">
                  <c:v>5.4195050624315289E-2</c:v>
                </c:pt>
                <c:pt idx="307">
                  <c:v>6.0454151982099025E-2</c:v>
                </c:pt>
                <c:pt idx="308">
                  <c:v>9.0962163473260318E-2</c:v>
                </c:pt>
                <c:pt idx="309">
                  <c:v>0.13900645483540944</c:v>
                </c:pt>
                <c:pt idx="310">
                  <c:v>0.16411463130834353</c:v>
                </c:pt>
                <c:pt idx="311">
                  <c:v>0.13361878036801866</c:v>
                </c:pt>
                <c:pt idx="312">
                  <c:v>5.8509912991918225E-2</c:v>
                </c:pt>
                <c:pt idx="313">
                  <c:v>-4.7624212292719376E-3</c:v>
                </c:pt>
                <c:pt idx="314">
                  <c:v>2.2964638100431423E-3</c:v>
                </c:pt>
                <c:pt idx="315">
                  <c:v>9.4162825356326432E-2</c:v>
                </c:pt>
                <c:pt idx="316">
                  <c:v>0.22748550155728078</c:v>
                </c:pt>
                <c:pt idx="317">
                  <c:v>0.24792898919991924</c:v>
                </c:pt>
                <c:pt idx="318">
                  <c:v>0.1400605765814637</c:v>
                </c:pt>
                <c:pt idx="319">
                  <c:v>1.1911938408741912E-2</c:v>
                </c:pt>
                <c:pt idx="320">
                  <c:v>-6.6126803383771388E-2</c:v>
                </c:pt>
                <c:pt idx="321">
                  <c:v>-6.4527081057236868E-2</c:v>
                </c:pt>
                <c:pt idx="322">
                  <c:v>-7.0649636124544002E-3</c:v>
                </c:pt>
                <c:pt idx="323">
                  <c:v>5.5319082297570071E-2</c:v>
                </c:pt>
                <c:pt idx="324">
                  <c:v>9.9648725445773578E-2</c:v>
                </c:pt>
                <c:pt idx="325">
                  <c:v>0.1506407044211594</c:v>
                </c:pt>
                <c:pt idx="326">
                  <c:v>9.7897136047306599E-3</c:v>
                </c:pt>
                <c:pt idx="327">
                  <c:v>-3.9372277567994662E-2</c:v>
                </c:pt>
                <c:pt idx="328">
                  <c:v>-1.3391727178757667E-2</c:v>
                </c:pt>
                <c:pt idx="329">
                  <c:v>2.9226915868953207E-2</c:v>
                </c:pt>
                <c:pt idx="330">
                  <c:v>5.3241394596896668E-2</c:v>
                </c:pt>
                <c:pt idx="331">
                  <c:v>7.484891347224526E-2</c:v>
                </c:pt>
                <c:pt idx="332">
                  <c:v>0.13444406659678496</c:v>
                </c:pt>
                <c:pt idx="333">
                  <c:v>0.13049449480650954</c:v>
                </c:pt>
                <c:pt idx="334">
                  <c:v>0.13548109802121122</c:v>
                </c:pt>
                <c:pt idx="335">
                  <c:v>0.15260747799610669</c:v>
                </c:pt>
                <c:pt idx="336">
                  <c:v>0.14636109175037681</c:v>
                </c:pt>
                <c:pt idx="337">
                  <c:v>0.13733508796336463</c:v>
                </c:pt>
                <c:pt idx="338">
                  <c:v>9.3012998798424201E-3</c:v>
                </c:pt>
                <c:pt idx="339">
                  <c:v>-2.6234340616890825E-2</c:v>
                </c:pt>
                <c:pt idx="340">
                  <c:v>2.6382451677244623E-2</c:v>
                </c:pt>
                <c:pt idx="341">
                  <c:v>0.10909046004743236</c:v>
                </c:pt>
                <c:pt idx="342">
                  <c:v>0.16920322698020154</c:v>
                </c:pt>
                <c:pt idx="343">
                  <c:v>0.18682034566607636</c:v>
                </c:pt>
                <c:pt idx="344">
                  <c:v>1.9738932420957922E-2</c:v>
                </c:pt>
                <c:pt idx="345">
                  <c:v>-6.251190027846304E-2</c:v>
                </c:pt>
                <c:pt idx="346">
                  <c:v>-4.8410464211028847E-2</c:v>
                </c:pt>
                <c:pt idx="347">
                  <c:v>9.4314919612040193E-3</c:v>
                </c:pt>
                <c:pt idx="348">
                  <c:v>5.6405513283000558E-2</c:v>
                </c:pt>
                <c:pt idx="349">
                  <c:v>9.4065962749178902E-2</c:v>
                </c:pt>
                <c:pt idx="350">
                  <c:v>0.10248203598219671</c:v>
                </c:pt>
                <c:pt idx="351">
                  <c:v>-2.9339228751813912E-2</c:v>
                </c:pt>
                <c:pt idx="352">
                  <c:v>-5.0822585190736708E-2</c:v>
                </c:pt>
                <c:pt idx="353">
                  <c:v>-9.6156657375278676E-3</c:v>
                </c:pt>
                <c:pt idx="354">
                  <c:v>3.3299467704046182E-2</c:v>
                </c:pt>
                <c:pt idx="355">
                  <c:v>6.7710872225940716E-2</c:v>
                </c:pt>
                <c:pt idx="356">
                  <c:v>0.13975091857872851</c:v>
                </c:pt>
                <c:pt idx="357">
                  <c:v>2.3473387670993717E-2</c:v>
                </c:pt>
                <c:pt idx="358">
                  <c:v>-1.9387777439331511E-2</c:v>
                </c:pt>
                <c:pt idx="359">
                  <c:v>5.325957928759284E-3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62-43C8-919C-9F6285637264}"/>
            </c:ext>
          </c:extLst>
        </c:ser>
        <c:ser>
          <c:idx val="3"/>
          <c:order val="3"/>
          <c:tx>
            <c:v>MSL</c:v>
          </c:tx>
          <c:spPr>
            <a:ln>
              <a:prstDash val="solid"/>
            </a:ln>
          </c:spPr>
          <c:marker>
            <c:symbol val="none"/>
          </c:marker>
          <c:dLbls>
            <c:numFmt formatCode="&quot;MSL:&quot;\ 0.00" sourceLinked="0"/>
            <c:spPr>
              <a:solidFill>
                <a:srgbClr val="FFFF00"/>
              </a:solidFill>
              <a:ln>
                <a:solidFill>
                  <a:srgbClr val="0070C0"/>
                </a:solidFill>
                <a:prstDash val="solid"/>
              </a:ln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x"/>
            <c:errBarType val="plus"/>
            <c:errValType val="cust"/>
            <c:noEndCap val="0"/>
            <c:plus>
              <c:numRef>
                <c:f>Calculation!$M$1</c:f>
                <c:numCache>
                  <c:formatCode>General</c:formatCode>
                  <c:ptCount val="1"/>
                  <c:pt idx="0">
                    <c:v>15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ln w="25400">
                <a:solidFill>
                  <a:srgbClr val="0070C0"/>
                </a:solidFill>
                <a:prstDash val="solid"/>
              </a:ln>
            </c:spPr>
          </c:errBars>
          <c:xVal>
            <c:numRef>
              <c:f>[0]!_chartDate</c:f>
              <c:numCache>
                <c:formatCode>d\-mmm\-yy\ hh:mm</c:formatCode>
                <c:ptCount val="360"/>
                <c:pt idx="0">
                  <c:v>43831</c:v>
                </c:pt>
                <c:pt idx="1">
                  <c:v>43831.041666666664</c:v>
                </c:pt>
                <c:pt idx="2">
                  <c:v>43831.083333333336</c:v>
                </c:pt>
                <c:pt idx="3">
                  <c:v>43831.125</c:v>
                </c:pt>
                <c:pt idx="4">
                  <c:v>43831.166666666664</c:v>
                </c:pt>
                <c:pt idx="5">
                  <c:v>43831.208333333336</c:v>
                </c:pt>
                <c:pt idx="6">
                  <c:v>43831.25</c:v>
                </c:pt>
                <c:pt idx="7">
                  <c:v>43831.291666666664</c:v>
                </c:pt>
                <c:pt idx="8">
                  <c:v>43831.333333333336</c:v>
                </c:pt>
                <c:pt idx="9">
                  <c:v>43831.375</c:v>
                </c:pt>
                <c:pt idx="10">
                  <c:v>43831.416666666664</c:v>
                </c:pt>
                <c:pt idx="11">
                  <c:v>43831.458333333336</c:v>
                </c:pt>
                <c:pt idx="12">
                  <c:v>43831.5</c:v>
                </c:pt>
                <c:pt idx="13">
                  <c:v>43831.541666666664</c:v>
                </c:pt>
                <c:pt idx="14">
                  <c:v>43831.583333333336</c:v>
                </c:pt>
                <c:pt idx="15">
                  <c:v>43831.625</c:v>
                </c:pt>
                <c:pt idx="16">
                  <c:v>43831.666666666664</c:v>
                </c:pt>
                <c:pt idx="17">
                  <c:v>43831.708333333336</c:v>
                </c:pt>
                <c:pt idx="18">
                  <c:v>43831.75</c:v>
                </c:pt>
                <c:pt idx="19">
                  <c:v>43831.791666666664</c:v>
                </c:pt>
                <c:pt idx="20">
                  <c:v>43831.833333333336</c:v>
                </c:pt>
                <c:pt idx="21">
                  <c:v>43831.875</c:v>
                </c:pt>
                <c:pt idx="22">
                  <c:v>43831.916666666664</c:v>
                </c:pt>
                <c:pt idx="23">
                  <c:v>43831.958333333336</c:v>
                </c:pt>
                <c:pt idx="24">
                  <c:v>43832</c:v>
                </c:pt>
                <c:pt idx="25">
                  <c:v>43832.041666666664</c:v>
                </c:pt>
                <c:pt idx="26">
                  <c:v>43832.083333333336</c:v>
                </c:pt>
                <c:pt idx="27">
                  <c:v>43832.125</c:v>
                </c:pt>
                <c:pt idx="28">
                  <c:v>43832.166666666664</c:v>
                </c:pt>
                <c:pt idx="29">
                  <c:v>43832.208333333336</c:v>
                </c:pt>
                <c:pt idx="30">
                  <c:v>43832.25</c:v>
                </c:pt>
                <c:pt idx="31">
                  <c:v>43832.291666666664</c:v>
                </c:pt>
                <c:pt idx="32">
                  <c:v>43832.333333333336</c:v>
                </c:pt>
                <c:pt idx="33">
                  <c:v>43832.375</c:v>
                </c:pt>
                <c:pt idx="34">
                  <c:v>43832.416666666664</c:v>
                </c:pt>
                <c:pt idx="35">
                  <c:v>43832.458333333336</c:v>
                </c:pt>
                <c:pt idx="36">
                  <c:v>43832.5</c:v>
                </c:pt>
                <c:pt idx="37">
                  <c:v>43832.541666666664</c:v>
                </c:pt>
                <c:pt idx="38">
                  <c:v>43832.583333333336</c:v>
                </c:pt>
                <c:pt idx="39">
                  <c:v>43832.625</c:v>
                </c:pt>
                <c:pt idx="40">
                  <c:v>43832.666666666664</c:v>
                </c:pt>
                <c:pt idx="41">
                  <c:v>43832.708333333336</c:v>
                </c:pt>
                <c:pt idx="42">
                  <c:v>43832.75</c:v>
                </c:pt>
                <c:pt idx="43">
                  <c:v>43832.791666666664</c:v>
                </c:pt>
                <c:pt idx="44">
                  <c:v>43832.833333333336</c:v>
                </c:pt>
                <c:pt idx="45">
                  <c:v>43832.875</c:v>
                </c:pt>
                <c:pt idx="46">
                  <c:v>43832.916666666664</c:v>
                </c:pt>
                <c:pt idx="47">
                  <c:v>43832.958333333336</c:v>
                </c:pt>
                <c:pt idx="48">
                  <c:v>43833</c:v>
                </c:pt>
                <c:pt idx="49">
                  <c:v>43833.041666666664</c:v>
                </c:pt>
                <c:pt idx="50">
                  <c:v>43833.083333333336</c:v>
                </c:pt>
                <c:pt idx="51">
                  <c:v>43833.125</c:v>
                </c:pt>
                <c:pt idx="52">
                  <c:v>43833.166666666664</c:v>
                </c:pt>
                <c:pt idx="53">
                  <c:v>43833.208333333336</c:v>
                </c:pt>
                <c:pt idx="54">
                  <c:v>43833.25</c:v>
                </c:pt>
                <c:pt idx="55">
                  <c:v>43833.291666666664</c:v>
                </c:pt>
                <c:pt idx="56">
                  <c:v>43833.333333333336</c:v>
                </c:pt>
                <c:pt idx="57">
                  <c:v>43833.375</c:v>
                </c:pt>
                <c:pt idx="58">
                  <c:v>43833.416666666664</c:v>
                </c:pt>
                <c:pt idx="59">
                  <c:v>43833.458333333336</c:v>
                </c:pt>
                <c:pt idx="60">
                  <c:v>43833.5</c:v>
                </c:pt>
                <c:pt idx="61">
                  <c:v>43833.541666666664</c:v>
                </c:pt>
                <c:pt idx="62">
                  <c:v>43833.583333333336</c:v>
                </c:pt>
                <c:pt idx="63">
                  <c:v>43833.625</c:v>
                </c:pt>
                <c:pt idx="64">
                  <c:v>43833.666666666664</c:v>
                </c:pt>
                <c:pt idx="65">
                  <c:v>43833.708333333336</c:v>
                </c:pt>
                <c:pt idx="66">
                  <c:v>43833.75</c:v>
                </c:pt>
                <c:pt idx="67">
                  <c:v>43833.791666666664</c:v>
                </c:pt>
                <c:pt idx="68">
                  <c:v>43833.833333333336</c:v>
                </c:pt>
                <c:pt idx="69">
                  <c:v>43833.875</c:v>
                </c:pt>
                <c:pt idx="70">
                  <c:v>43833.916666666664</c:v>
                </c:pt>
                <c:pt idx="71">
                  <c:v>43833.958333333336</c:v>
                </c:pt>
                <c:pt idx="72">
                  <c:v>43834</c:v>
                </c:pt>
                <c:pt idx="73">
                  <c:v>43834.041666666664</c:v>
                </c:pt>
                <c:pt idx="74">
                  <c:v>43834.083333333336</c:v>
                </c:pt>
                <c:pt idx="75">
                  <c:v>43834.125</c:v>
                </c:pt>
                <c:pt idx="76">
                  <c:v>43834.166666666664</c:v>
                </c:pt>
                <c:pt idx="77">
                  <c:v>43834.208333333336</c:v>
                </c:pt>
                <c:pt idx="78">
                  <c:v>43834.25</c:v>
                </c:pt>
                <c:pt idx="79">
                  <c:v>43834.291666666664</c:v>
                </c:pt>
                <c:pt idx="80">
                  <c:v>43834.333333333336</c:v>
                </c:pt>
                <c:pt idx="81">
                  <c:v>43834.375</c:v>
                </c:pt>
                <c:pt idx="82">
                  <c:v>43834.416666666664</c:v>
                </c:pt>
                <c:pt idx="83">
                  <c:v>43834.458333333336</c:v>
                </c:pt>
                <c:pt idx="84">
                  <c:v>43834.5</c:v>
                </c:pt>
                <c:pt idx="85">
                  <c:v>43834.541666666664</c:v>
                </c:pt>
                <c:pt idx="86">
                  <c:v>43834.583333333336</c:v>
                </c:pt>
                <c:pt idx="87">
                  <c:v>43834.625</c:v>
                </c:pt>
                <c:pt idx="88">
                  <c:v>43834.666666666664</c:v>
                </c:pt>
                <c:pt idx="89">
                  <c:v>43834.708333333336</c:v>
                </c:pt>
                <c:pt idx="90">
                  <c:v>43834.75</c:v>
                </c:pt>
                <c:pt idx="91">
                  <c:v>43834.791666666664</c:v>
                </c:pt>
                <c:pt idx="92">
                  <c:v>43834.833333333336</c:v>
                </c:pt>
                <c:pt idx="93">
                  <c:v>43834.875</c:v>
                </c:pt>
                <c:pt idx="94">
                  <c:v>43834.916666666664</c:v>
                </c:pt>
                <c:pt idx="95">
                  <c:v>43834.958333333336</c:v>
                </c:pt>
                <c:pt idx="96">
                  <c:v>43835</c:v>
                </c:pt>
                <c:pt idx="97">
                  <c:v>43835.041666666664</c:v>
                </c:pt>
                <c:pt idx="98">
                  <c:v>43835.083333333336</c:v>
                </c:pt>
                <c:pt idx="99">
                  <c:v>43835.125</c:v>
                </c:pt>
                <c:pt idx="100">
                  <c:v>43835.166666666664</c:v>
                </c:pt>
                <c:pt idx="101">
                  <c:v>43835.208333333336</c:v>
                </c:pt>
                <c:pt idx="102">
                  <c:v>43835.25</c:v>
                </c:pt>
                <c:pt idx="103">
                  <c:v>43835.291666666664</c:v>
                </c:pt>
                <c:pt idx="104">
                  <c:v>43835.333333333336</c:v>
                </c:pt>
                <c:pt idx="105">
                  <c:v>43835.375</c:v>
                </c:pt>
                <c:pt idx="106">
                  <c:v>43835.416666666664</c:v>
                </c:pt>
                <c:pt idx="107">
                  <c:v>43835.458333333336</c:v>
                </c:pt>
                <c:pt idx="108">
                  <c:v>43835.5</c:v>
                </c:pt>
                <c:pt idx="109">
                  <c:v>43835.541666666664</c:v>
                </c:pt>
                <c:pt idx="110">
                  <c:v>43835.583333333336</c:v>
                </c:pt>
                <c:pt idx="111">
                  <c:v>43835.625</c:v>
                </c:pt>
                <c:pt idx="112">
                  <c:v>43835.666666666664</c:v>
                </c:pt>
                <c:pt idx="113">
                  <c:v>43835.708333333336</c:v>
                </c:pt>
                <c:pt idx="114">
                  <c:v>43835.75</c:v>
                </c:pt>
                <c:pt idx="115">
                  <c:v>43835.791666666664</c:v>
                </c:pt>
                <c:pt idx="116">
                  <c:v>43835.833333333336</c:v>
                </c:pt>
                <c:pt idx="117">
                  <c:v>43835.875</c:v>
                </c:pt>
                <c:pt idx="118">
                  <c:v>43835.916666666664</c:v>
                </c:pt>
                <c:pt idx="119">
                  <c:v>43835.958333333336</c:v>
                </c:pt>
                <c:pt idx="120">
                  <c:v>43836</c:v>
                </c:pt>
                <c:pt idx="121">
                  <c:v>43836.041666666664</c:v>
                </c:pt>
                <c:pt idx="122">
                  <c:v>43836.083333333336</c:v>
                </c:pt>
                <c:pt idx="123">
                  <c:v>43836.125</c:v>
                </c:pt>
                <c:pt idx="124">
                  <c:v>43836.166666666664</c:v>
                </c:pt>
                <c:pt idx="125">
                  <c:v>43836.208333333336</c:v>
                </c:pt>
                <c:pt idx="126">
                  <c:v>43836.25</c:v>
                </c:pt>
                <c:pt idx="127">
                  <c:v>43836.291666666664</c:v>
                </c:pt>
                <c:pt idx="128">
                  <c:v>43836.333333333336</c:v>
                </c:pt>
                <c:pt idx="129">
                  <c:v>43836.375</c:v>
                </c:pt>
                <c:pt idx="130">
                  <c:v>43836.416666666664</c:v>
                </c:pt>
                <c:pt idx="131">
                  <c:v>43836.458333333336</c:v>
                </c:pt>
                <c:pt idx="132">
                  <c:v>43836.5</c:v>
                </c:pt>
                <c:pt idx="133">
                  <c:v>43836.541666666664</c:v>
                </c:pt>
                <c:pt idx="134">
                  <c:v>43836.583333333336</c:v>
                </c:pt>
                <c:pt idx="135">
                  <c:v>43836.625</c:v>
                </c:pt>
                <c:pt idx="136">
                  <c:v>43836.666666666664</c:v>
                </c:pt>
                <c:pt idx="137">
                  <c:v>43836.708333333336</c:v>
                </c:pt>
                <c:pt idx="138">
                  <c:v>43836.75</c:v>
                </c:pt>
                <c:pt idx="139">
                  <c:v>43836.791666666664</c:v>
                </c:pt>
                <c:pt idx="140">
                  <c:v>43836.833333333336</c:v>
                </c:pt>
                <c:pt idx="141">
                  <c:v>43836.875</c:v>
                </c:pt>
                <c:pt idx="142">
                  <c:v>43836.916666666664</c:v>
                </c:pt>
                <c:pt idx="143">
                  <c:v>43836.958333333336</c:v>
                </c:pt>
                <c:pt idx="144">
                  <c:v>43837</c:v>
                </c:pt>
                <c:pt idx="145">
                  <c:v>43837.041666666664</c:v>
                </c:pt>
                <c:pt idx="146">
                  <c:v>43837.083333333336</c:v>
                </c:pt>
                <c:pt idx="147">
                  <c:v>43837.125</c:v>
                </c:pt>
                <c:pt idx="148">
                  <c:v>43837.166666666664</c:v>
                </c:pt>
                <c:pt idx="149">
                  <c:v>43837.208333333336</c:v>
                </c:pt>
                <c:pt idx="150">
                  <c:v>43837.25</c:v>
                </c:pt>
                <c:pt idx="151">
                  <c:v>43837.291666666664</c:v>
                </c:pt>
                <c:pt idx="152">
                  <c:v>43837.333333333336</c:v>
                </c:pt>
                <c:pt idx="153">
                  <c:v>43837.375</c:v>
                </c:pt>
                <c:pt idx="154">
                  <c:v>43837.416666666664</c:v>
                </c:pt>
                <c:pt idx="155">
                  <c:v>43837.458333333336</c:v>
                </c:pt>
                <c:pt idx="156">
                  <c:v>43837.5</c:v>
                </c:pt>
                <c:pt idx="157">
                  <c:v>43837.541666666664</c:v>
                </c:pt>
                <c:pt idx="158">
                  <c:v>43837.583333333336</c:v>
                </c:pt>
                <c:pt idx="159">
                  <c:v>43837.625</c:v>
                </c:pt>
                <c:pt idx="160">
                  <c:v>43837.666666666664</c:v>
                </c:pt>
                <c:pt idx="161">
                  <c:v>43837.708333333336</c:v>
                </c:pt>
                <c:pt idx="162">
                  <c:v>43837.75</c:v>
                </c:pt>
                <c:pt idx="163">
                  <c:v>43837.791666666664</c:v>
                </c:pt>
                <c:pt idx="164">
                  <c:v>43837.833333333336</c:v>
                </c:pt>
                <c:pt idx="165">
                  <c:v>43837.875</c:v>
                </c:pt>
                <c:pt idx="166">
                  <c:v>43837.916666666664</c:v>
                </c:pt>
                <c:pt idx="167">
                  <c:v>43837.958333333336</c:v>
                </c:pt>
                <c:pt idx="168">
                  <c:v>43838</c:v>
                </c:pt>
                <c:pt idx="169">
                  <c:v>43838.041666666664</c:v>
                </c:pt>
                <c:pt idx="170">
                  <c:v>43838.083333333336</c:v>
                </c:pt>
                <c:pt idx="171">
                  <c:v>43838.125</c:v>
                </c:pt>
                <c:pt idx="172">
                  <c:v>43838.166666666664</c:v>
                </c:pt>
                <c:pt idx="173">
                  <c:v>43838.208333333336</c:v>
                </c:pt>
                <c:pt idx="174">
                  <c:v>43838.25</c:v>
                </c:pt>
                <c:pt idx="175">
                  <c:v>43838.291666666664</c:v>
                </c:pt>
                <c:pt idx="176">
                  <c:v>43838.333333333336</c:v>
                </c:pt>
                <c:pt idx="177">
                  <c:v>43838.375</c:v>
                </c:pt>
                <c:pt idx="178">
                  <c:v>43838.416666666664</c:v>
                </c:pt>
                <c:pt idx="179">
                  <c:v>43838.458333333336</c:v>
                </c:pt>
                <c:pt idx="180">
                  <c:v>43838.5</c:v>
                </c:pt>
                <c:pt idx="181">
                  <c:v>43838.541666666664</c:v>
                </c:pt>
                <c:pt idx="182">
                  <c:v>43838.583333333336</c:v>
                </c:pt>
                <c:pt idx="183">
                  <c:v>43838.625</c:v>
                </c:pt>
                <c:pt idx="184">
                  <c:v>43838.666666666664</c:v>
                </c:pt>
                <c:pt idx="185">
                  <c:v>43838.708333333336</c:v>
                </c:pt>
                <c:pt idx="186">
                  <c:v>43838.75</c:v>
                </c:pt>
                <c:pt idx="187">
                  <c:v>43838.791666666664</c:v>
                </c:pt>
                <c:pt idx="188">
                  <c:v>43838.833333333336</c:v>
                </c:pt>
                <c:pt idx="189">
                  <c:v>43838.875</c:v>
                </c:pt>
                <c:pt idx="190">
                  <c:v>43838.916666666664</c:v>
                </c:pt>
                <c:pt idx="191">
                  <c:v>43838.958333333336</c:v>
                </c:pt>
                <c:pt idx="192">
                  <c:v>43839</c:v>
                </c:pt>
                <c:pt idx="193">
                  <c:v>43839.041666666664</c:v>
                </c:pt>
                <c:pt idx="194">
                  <c:v>43839.083333333336</c:v>
                </c:pt>
                <c:pt idx="195">
                  <c:v>43839.125</c:v>
                </c:pt>
                <c:pt idx="196">
                  <c:v>43839.166666666664</c:v>
                </c:pt>
                <c:pt idx="197">
                  <c:v>43839.208333333336</c:v>
                </c:pt>
                <c:pt idx="198">
                  <c:v>43839.25</c:v>
                </c:pt>
                <c:pt idx="199">
                  <c:v>43839.291666666664</c:v>
                </c:pt>
                <c:pt idx="200">
                  <c:v>43839.333333333336</c:v>
                </c:pt>
                <c:pt idx="201">
                  <c:v>43839.375</c:v>
                </c:pt>
                <c:pt idx="202">
                  <c:v>43839.416666666664</c:v>
                </c:pt>
                <c:pt idx="203">
                  <c:v>43839.458333333336</c:v>
                </c:pt>
                <c:pt idx="204">
                  <c:v>43839.5</c:v>
                </c:pt>
                <c:pt idx="205">
                  <c:v>43839.541666666664</c:v>
                </c:pt>
                <c:pt idx="206">
                  <c:v>43839.583333333336</c:v>
                </c:pt>
                <c:pt idx="207">
                  <c:v>43839.625</c:v>
                </c:pt>
                <c:pt idx="208">
                  <c:v>43839.666666666664</c:v>
                </c:pt>
                <c:pt idx="209">
                  <c:v>43839.708333333336</c:v>
                </c:pt>
                <c:pt idx="210">
                  <c:v>43839.75</c:v>
                </c:pt>
                <c:pt idx="211">
                  <c:v>43839.791666666664</c:v>
                </c:pt>
                <c:pt idx="212">
                  <c:v>43839.833333333336</c:v>
                </c:pt>
                <c:pt idx="213">
                  <c:v>43839.875</c:v>
                </c:pt>
                <c:pt idx="214">
                  <c:v>43839.916666666664</c:v>
                </c:pt>
                <c:pt idx="215">
                  <c:v>43839.958333333336</c:v>
                </c:pt>
                <c:pt idx="216">
                  <c:v>43840</c:v>
                </c:pt>
                <c:pt idx="217">
                  <c:v>43840.041666666664</c:v>
                </c:pt>
                <c:pt idx="218">
                  <c:v>43840.083333333336</c:v>
                </c:pt>
                <c:pt idx="219">
                  <c:v>43840.125</c:v>
                </c:pt>
                <c:pt idx="220">
                  <c:v>43840.166666666664</c:v>
                </c:pt>
                <c:pt idx="221">
                  <c:v>43840.208333333336</c:v>
                </c:pt>
                <c:pt idx="222">
                  <c:v>43840.25</c:v>
                </c:pt>
                <c:pt idx="223">
                  <c:v>43840.291666666664</c:v>
                </c:pt>
                <c:pt idx="224">
                  <c:v>43840.333333333336</c:v>
                </c:pt>
                <c:pt idx="225">
                  <c:v>43840.375</c:v>
                </c:pt>
                <c:pt idx="226">
                  <c:v>43840.416666666664</c:v>
                </c:pt>
                <c:pt idx="227">
                  <c:v>43840.458333333336</c:v>
                </c:pt>
                <c:pt idx="228">
                  <c:v>43840.5</c:v>
                </c:pt>
                <c:pt idx="229">
                  <c:v>43840.541666666664</c:v>
                </c:pt>
                <c:pt idx="230">
                  <c:v>43840.583333333336</c:v>
                </c:pt>
                <c:pt idx="231">
                  <c:v>43840.625</c:v>
                </c:pt>
                <c:pt idx="232">
                  <c:v>43840.666666666664</c:v>
                </c:pt>
                <c:pt idx="233">
                  <c:v>43840.708333333336</c:v>
                </c:pt>
                <c:pt idx="234">
                  <c:v>43840.75</c:v>
                </c:pt>
                <c:pt idx="235">
                  <c:v>43840.791666666664</c:v>
                </c:pt>
                <c:pt idx="236">
                  <c:v>43840.833333333336</c:v>
                </c:pt>
                <c:pt idx="237">
                  <c:v>43840.875</c:v>
                </c:pt>
                <c:pt idx="238">
                  <c:v>43840.916666666664</c:v>
                </c:pt>
                <c:pt idx="239">
                  <c:v>43840.958333333336</c:v>
                </c:pt>
                <c:pt idx="240">
                  <c:v>43841</c:v>
                </c:pt>
                <c:pt idx="241">
                  <c:v>43841.041666666664</c:v>
                </c:pt>
                <c:pt idx="242">
                  <c:v>43841.083333333336</c:v>
                </c:pt>
                <c:pt idx="243">
                  <c:v>43841.125</c:v>
                </c:pt>
                <c:pt idx="244">
                  <c:v>43841.166666666664</c:v>
                </c:pt>
                <c:pt idx="245">
                  <c:v>43841.208333333336</c:v>
                </c:pt>
                <c:pt idx="246">
                  <c:v>43841.25</c:v>
                </c:pt>
                <c:pt idx="247">
                  <c:v>43841.291666666664</c:v>
                </c:pt>
                <c:pt idx="248">
                  <c:v>43841.333333333336</c:v>
                </c:pt>
                <c:pt idx="249">
                  <c:v>43841.375</c:v>
                </c:pt>
                <c:pt idx="250">
                  <c:v>43841.416666666664</c:v>
                </c:pt>
                <c:pt idx="251">
                  <c:v>43841.458333333336</c:v>
                </c:pt>
                <c:pt idx="252">
                  <c:v>43841.5</c:v>
                </c:pt>
                <c:pt idx="253">
                  <c:v>43841.541666666664</c:v>
                </c:pt>
                <c:pt idx="254">
                  <c:v>43841.583333333336</c:v>
                </c:pt>
                <c:pt idx="255">
                  <c:v>43841.625</c:v>
                </c:pt>
                <c:pt idx="256">
                  <c:v>43841.666666666664</c:v>
                </c:pt>
                <c:pt idx="257">
                  <c:v>43841.708333333336</c:v>
                </c:pt>
                <c:pt idx="258">
                  <c:v>43841.75</c:v>
                </c:pt>
                <c:pt idx="259">
                  <c:v>43841.791666666664</c:v>
                </c:pt>
                <c:pt idx="260">
                  <c:v>43841.833333333336</c:v>
                </c:pt>
                <c:pt idx="261">
                  <c:v>43841.875</c:v>
                </c:pt>
                <c:pt idx="262">
                  <c:v>43841.916666666664</c:v>
                </c:pt>
                <c:pt idx="263">
                  <c:v>43841.958333333336</c:v>
                </c:pt>
                <c:pt idx="264">
                  <c:v>43842</c:v>
                </c:pt>
                <c:pt idx="265">
                  <c:v>43842.041666666664</c:v>
                </c:pt>
                <c:pt idx="266">
                  <c:v>43842.083333333336</c:v>
                </c:pt>
                <c:pt idx="267">
                  <c:v>43842.125</c:v>
                </c:pt>
                <c:pt idx="268">
                  <c:v>43842.166666666664</c:v>
                </c:pt>
                <c:pt idx="269">
                  <c:v>43842.208333333336</c:v>
                </c:pt>
                <c:pt idx="270">
                  <c:v>43842.25</c:v>
                </c:pt>
                <c:pt idx="271">
                  <c:v>43842.291666666664</c:v>
                </c:pt>
                <c:pt idx="272">
                  <c:v>43842.333333333336</c:v>
                </c:pt>
                <c:pt idx="273">
                  <c:v>43842.375</c:v>
                </c:pt>
                <c:pt idx="274">
                  <c:v>43842.416666666664</c:v>
                </c:pt>
                <c:pt idx="275">
                  <c:v>43842.458333333336</c:v>
                </c:pt>
                <c:pt idx="276">
                  <c:v>43842.5</c:v>
                </c:pt>
                <c:pt idx="277">
                  <c:v>43842.541666666664</c:v>
                </c:pt>
                <c:pt idx="278">
                  <c:v>43842.583333333336</c:v>
                </c:pt>
                <c:pt idx="279">
                  <c:v>43842.625</c:v>
                </c:pt>
                <c:pt idx="280">
                  <c:v>43842.666666666664</c:v>
                </c:pt>
                <c:pt idx="281">
                  <c:v>43842.708333333336</c:v>
                </c:pt>
                <c:pt idx="282">
                  <c:v>43842.75</c:v>
                </c:pt>
                <c:pt idx="283">
                  <c:v>43842.791666666664</c:v>
                </c:pt>
                <c:pt idx="284">
                  <c:v>43842.833333333336</c:v>
                </c:pt>
                <c:pt idx="285">
                  <c:v>43842.875</c:v>
                </c:pt>
                <c:pt idx="286">
                  <c:v>43842.916666666664</c:v>
                </c:pt>
                <c:pt idx="287">
                  <c:v>43842.958333333336</c:v>
                </c:pt>
                <c:pt idx="288">
                  <c:v>43843</c:v>
                </c:pt>
                <c:pt idx="289">
                  <c:v>43843.041666666664</c:v>
                </c:pt>
                <c:pt idx="290">
                  <c:v>43843.083333333336</c:v>
                </c:pt>
                <c:pt idx="291">
                  <c:v>43843.125</c:v>
                </c:pt>
                <c:pt idx="292">
                  <c:v>43843.166666666664</c:v>
                </c:pt>
                <c:pt idx="293">
                  <c:v>43843.208333333336</c:v>
                </c:pt>
                <c:pt idx="294">
                  <c:v>43843.25</c:v>
                </c:pt>
                <c:pt idx="295">
                  <c:v>43843.291666666664</c:v>
                </c:pt>
                <c:pt idx="296">
                  <c:v>43843.333333333336</c:v>
                </c:pt>
                <c:pt idx="297">
                  <c:v>43843.375</c:v>
                </c:pt>
                <c:pt idx="298">
                  <c:v>43843.416666666664</c:v>
                </c:pt>
                <c:pt idx="299">
                  <c:v>43843.458333333336</c:v>
                </c:pt>
                <c:pt idx="300">
                  <c:v>43843.5</c:v>
                </c:pt>
                <c:pt idx="301">
                  <c:v>43843.541666666664</c:v>
                </c:pt>
                <c:pt idx="302">
                  <c:v>43843.583333333336</c:v>
                </c:pt>
                <c:pt idx="303">
                  <c:v>43843.625</c:v>
                </c:pt>
                <c:pt idx="304">
                  <c:v>43843.666666666664</c:v>
                </c:pt>
                <c:pt idx="305">
                  <c:v>43843.708333333336</c:v>
                </c:pt>
                <c:pt idx="306">
                  <c:v>43843.75</c:v>
                </c:pt>
                <c:pt idx="307">
                  <c:v>43843.791666666664</c:v>
                </c:pt>
                <c:pt idx="308">
                  <c:v>43843.833333333336</c:v>
                </c:pt>
                <c:pt idx="309">
                  <c:v>43843.875</c:v>
                </c:pt>
                <c:pt idx="310">
                  <c:v>43843.916666666664</c:v>
                </c:pt>
                <c:pt idx="311">
                  <c:v>43843.958333333336</c:v>
                </c:pt>
                <c:pt idx="312">
                  <c:v>43844</c:v>
                </c:pt>
                <c:pt idx="313">
                  <c:v>43844.041666666664</c:v>
                </c:pt>
                <c:pt idx="314">
                  <c:v>43844.083333333336</c:v>
                </c:pt>
                <c:pt idx="315">
                  <c:v>43844.125</c:v>
                </c:pt>
                <c:pt idx="316">
                  <c:v>43844.166666666664</c:v>
                </c:pt>
                <c:pt idx="317">
                  <c:v>43844.208333333336</c:v>
                </c:pt>
                <c:pt idx="318">
                  <c:v>43844.25</c:v>
                </c:pt>
                <c:pt idx="319">
                  <c:v>43844.291666666664</c:v>
                </c:pt>
                <c:pt idx="320">
                  <c:v>43844.333333333336</c:v>
                </c:pt>
                <c:pt idx="321">
                  <c:v>43844.375</c:v>
                </c:pt>
                <c:pt idx="322">
                  <c:v>43844.416666666664</c:v>
                </c:pt>
                <c:pt idx="323">
                  <c:v>43844.458333333336</c:v>
                </c:pt>
                <c:pt idx="324">
                  <c:v>43844.5</c:v>
                </c:pt>
                <c:pt idx="325">
                  <c:v>43844.541666666664</c:v>
                </c:pt>
                <c:pt idx="326">
                  <c:v>43844.583333333336</c:v>
                </c:pt>
                <c:pt idx="327">
                  <c:v>43844.625</c:v>
                </c:pt>
                <c:pt idx="328">
                  <c:v>43844.666666666664</c:v>
                </c:pt>
                <c:pt idx="329">
                  <c:v>43844.708333333336</c:v>
                </c:pt>
                <c:pt idx="330">
                  <c:v>43844.75</c:v>
                </c:pt>
                <c:pt idx="331">
                  <c:v>43844.791666666664</c:v>
                </c:pt>
                <c:pt idx="332">
                  <c:v>43844.833333333336</c:v>
                </c:pt>
                <c:pt idx="333">
                  <c:v>43844.875</c:v>
                </c:pt>
                <c:pt idx="334">
                  <c:v>43844.916666666664</c:v>
                </c:pt>
                <c:pt idx="335">
                  <c:v>43844.958333333336</c:v>
                </c:pt>
                <c:pt idx="336" formatCode="General">
                  <c:v>43845</c:v>
                </c:pt>
                <c:pt idx="337" formatCode="General">
                  <c:v>43845.041666666664</c:v>
                </c:pt>
                <c:pt idx="338" formatCode="General">
                  <c:v>43845.083333333336</c:v>
                </c:pt>
                <c:pt idx="339" formatCode="General">
                  <c:v>43845.125</c:v>
                </c:pt>
                <c:pt idx="340" formatCode="General">
                  <c:v>43845.166666666664</c:v>
                </c:pt>
                <c:pt idx="341" formatCode="General">
                  <c:v>43845.208333333336</c:v>
                </c:pt>
                <c:pt idx="342" formatCode="General">
                  <c:v>43845.25</c:v>
                </c:pt>
                <c:pt idx="343" formatCode="General">
                  <c:v>43845.291666666664</c:v>
                </c:pt>
                <c:pt idx="344" formatCode="General">
                  <c:v>43845.333333333336</c:v>
                </c:pt>
                <c:pt idx="345" formatCode="General">
                  <c:v>43845.375</c:v>
                </c:pt>
                <c:pt idx="346" formatCode="General">
                  <c:v>43845.416666666664</c:v>
                </c:pt>
                <c:pt idx="347" formatCode="General">
                  <c:v>43845.458333333336</c:v>
                </c:pt>
                <c:pt idx="348" formatCode="General">
                  <c:v>43845.5</c:v>
                </c:pt>
                <c:pt idx="349" formatCode="General">
                  <c:v>43845.541666666664</c:v>
                </c:pt>
                <c:pt idx="350" formatCode="General">
                  <c:v>43845.583333333336</c:v>
                </c:pt>
                <c:pt idx="351" formatCode="General">
                  <c:v>43845.625</c:v>
                </c:pt>
                <c:pt idx="352" formatCode="General">
                  <c:v>43845.666666666664</c:v>
                </c:pt>
                <c:pt idx="353" formatCode="General">
                  <c:v>43845.708333333336</c:v>
                </c:pt>
                <c:pt idx="354" formatCode="General">
                  <c:v>43845.75</c:v>
                </c:pt>
                <c:pt idx="355" formatCode="General">
                  <c:v>43845.791666666664</c:v>
                </c:pt>
                <c:pt idx="356" formatCode="General">
                  <c:v>43845.833333333336</c:v>
                </c:pt>
                <c:pt idx="357" formatCode="General">
                  <c:v>43845.875</c:v>
                </c:pt>
                <c:pt idx="358" formatCode="General">
                  <c:v>43845.916666666664</c:v>
                </c:pt>
                <c:pt idx="359" formatCode="General">
                  <c:v>43845.958333333336</c:v>
                </c:pt>
              </c:numCache>
            </c:numRef>
          </c:xVal>
          <c:yVal>
            <c:numRef>
              <c:f>[0]!_MSL</c:f>
              <c:numCache>
                <c:formatCode>0.0000</c:formatCode>
                <c:ptCount val="1"/>
                <c:pt idx="0">
                  <c:v>0.21142364514928993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62-43C8-919C-9F6285637264}"/>
            </c:ext>
          </c:extLst>
        </c:ser>
        <c:ser>
          <c:idx val="4"/>
          <c:order val="4"/>
          <c:tx>
            <c:v>Min Deviasi</c:v>
          </c:tx>
          <c:spPr>
            <a:ln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prstDash val="solid"/>
              </a:ln>
            </c:spPr>
          </c:marker>
          <c:dLbls>
            <c:spPr>
              <a:solidFill>
                <a:schemeClr val="accent3">
                  <a:lumMod val="20000"/>
                  <a:lumOff val="80000"/>
                </a:schemeClr>
              </a:solidFill>
              <a:ln>
                <a:solidFill>
                  <a:srgbClr val="FF0000"/>
                </a:solidFill>
                <a:prstDash val="solid"/>
              </a:ln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Calculation!$D$44</c:f>
              <c:numCache>
                <c:formatCode>d\-mmm\-yy\ hh:mm</c:formatCode>
                <c:ptCount val="1"/>
                <c:pt idx="0">
                  <c:v>43838.833333333336</c:v>
                </c:pt>
              </c:numCache>
            </c:numRef>
          </c:xVal>
          <c:yVal>
            <c:numRef>
              <c:f>Calculation!$E$44</c:f>
              <c:numCache>
                <c:formatCode>0.000</c:formatCode>
                <c:ptCount val="1"/>
                <c:pt idx="0">
                  <c:v>-0.21697863301573445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62-43C8-919C-9F6285637264}"/>
            </c:ext>
          </c:extLst>
        </c:ser>
        <c:ser>
          <c:idx val="5"/>
          <c:order val="5"/>
          <c:tx>
            <c:v>Max Devias</c:v>
          </c:tx>
          <c:spPr>
            <a:ln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prstDash val="solid"/>
              </a:ln>
            </c:spPr>
          </c:marker>
          <c:dLbls>
            <c:spPr>
              <a:solidFill>
                <a:srgbClr val="9BBB59"/>
              </a:solidFill>
              <a:ln>
                <a:solidFill>
                  <a:srgbClr val="FF0000"/>
                </a:solidFill>
                <a:prstDash val="solid"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Calculation!$F$44</c:f>
              <c:numCache>
                <c:formatCode>d\-mmm\-yy\ hh:mm</c:formatCode>
                <c:ptCount val="1"/>
                <c:pt idx="0">
                  <c:v>43844.208333333336</c:v>
                </c:pt>
              </c:numCache>
            </c:numRef>
          </c:xVal>
          <c:yVal>
            <c:numRef>
              <c:f>Calculation!$G$44</c:f>
              <c:numCache>
                <c:formatCode>0.000</c:formatCode>
                <c:ptCount val="1"/>
                <c:pt idx="0">
                  <c:v>0.24792898919991924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2-43C8-919C-9F628563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70080"/>
        <c:axId val="67471616"/>
      </c:scatterChart>
      <c:valAx>
        <c:axId val="67470080"/>
        <c:scaling>
          <c:orientation val="minMax"/>
          <c:max val="43846"/>
          <c:min val="43831"/>
        </c:scaling>
        <c:delete val="0"/>
        <c:axPos val="b"/>
        <c:numFmt formatCode="d\-mmm\-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7471616"/>
        <c:crosses val="autoZero"/>
        <c:crossBetween val="midCat"/>
        <c:majorUnit val="1"/>
        <c:minorUnit val="1"/>
      </c:valAx>
      <c:valAx>
        <c:axId val="67471616"/>
        <c:scaling>
          <c:orientation val="minMax"/>
          <c:min val="-1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prstDash val="sysDash"/>
          </a:ln>
        </c:spPr>
        <c:crossAx val="67470080"/>
        <c:crosses val="autoZero"/>
        <c:crossBetween val="midCat"/>
      </c:valAx>
    </c:plotArea>
    <c:legend>
      <c:legendPos val="b"/>
      <c:legendEntry>
        <c:idx val="4"/>
        <c:delete val="1"/>
      </c:legendEntry>
      <c:legendEntry>
        <c:idx val="5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204088475724678E-2"/>
          <c:y val="4.3745152423322962E-2"/>
          <c:w val="0.91777664062220854"/>
          <c:h val="0.588644043482418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Calculation!$N$2</c:f>
              <c:strCache>
                <c:ptCount val="1"/>
                <c:pt idx="0">
                  <c:v>Observation
(obs)</c:v>
                </c:pt>
              </c:strCache>
            </c:strRef>
          </c:tx>
          <c:spPr>
            <a:ln w="9525">
              <a:prstDash val="sysDash"/>
            </a:ln>
          </c:spPr>
          <c:marker>
            <c:symbol val="circle"/>
            <c:size val="3"/>
            <c:spPr>
              <a:noFill/>
              <a:ln>
                <a:prstDash val="solid"/>
              </a:ln>
            </c:spPr>
          </c:marker>
          <c:xVal>
            <c:numRef>
              <c:f>[0]!_chartDate</c:f>
              <c:numCache>
                <c:formatCode>d\-mmm\-yy\ hh:mm</c:formatCode>
                <c:ptCount val="360"/>
                <c:pt idx="0">
                  <c:v>43831</c:v>
                </c:pt>
                <c:pt idx="1">
                  <c:v>43831.041666666664</c:v>
                </c:pt>
                <c:pt idx="2">
                  <c:v>43831.083333333336</c:v>
                </c:pt>
                <c:pt idx="3">
                  <c:v>43831.125</c:v>
                </c:pt>
                <c:pt idx="4">
                  <c:v>43831.166666666664</c:v>
                </c:pt>
                <c:pt idx="5">
                  <c:v>43831.208333333336</c:v>
                </c:pt>
                <c:pt idx="6">
                  <c:v>43831.25</c:v>
                </c:pt>
                <c:pt idx="7">
                  <c:v>43831.291666666664</c:v>
                </c:pt>
                <c:pt idx="8">
                  <c:v>43831.333333333336</c:v>
                </c:pt>
                <c:pt idx="9">
                  <c:v>43831.375</c:v>
                </c:pt>
                <c:pt idx="10">
                  <c:v>43831.416666666664</c:v>
                </c:pt>
                <c:pt idx="11">
                  <c:v>43831.458333333336</c:v>
                </c:pt>
                <c:pt idx="12">
                  <c:v>43831.5</c:v>
                </c:pt>
                <c:pt idx="13">
                  <c:v>43831.541666666664</c:v>
                </c:pt>
                <c:pt idx="14">
                  <c:v>43831.583333333336</c:v>
                </c:pt>
                <c:pt idx="15">
                  <c:v>43831.625</c:v>
                </c:pt>
                <c:pt idx="16">
                  <c:v>43831.666666666664</c:v>
                </c:pt>
                <c:pt idx="17">
                  <c:v>43831.708333333336</c:v>
                </c:pt>
                <c:pt idx="18">
                  <c:v>43831.75</c:v>
                </c:pt>
                <c:pt idx="19">
                  <c:v>43831.791666666664</c:v>
                </c:pt>
                <c:pt idx="20">
                  <c:v>43831.833333333336</c:v>
                </c:pt>
                <c:pt idx="21">
                  <c:v>43831.875</c:v>
                </c:pt>
                <c:pt idx="22">
                  <c:v>43831.916666666664</c:v>
                </c:pt>
                <c:pt idx="23">
                  <c:v>43831.958333333336</c:v>
                </c:pt>
                <c:pt idx="24">
                  <c:v>43832</c:v>
                </c:pt>
                <c:pt idx="25">
                  <c:v>43832.041666666664</c:v>
                </c:pt>
                <c:pt idx="26">
                  <c:v>43832.083333333336</c:v>
                </c:pt>
                <c:pt idx="27">
                  <c:v>43832.125</c:v>
                </c:pt>
                <c:pt idx="28">
                  <c:v>43832.166666666664</c:v>
                </c:pt>
                <c:pt idx="29">
                  <c:v>43832.208333333336</c:v>
                </c:pt>
                <c:pt idx="30">
                  <c:v>43832.25</c:v>
                </c:pt>
                <c:pt idx="31">
                  <c:v>43832.291666666664</c:v>
                </c:pt>
                <c:pt idx="32">
                  <c:v>43832.333333333336</c:v>
                </c:pt>
                <c:pt idx="33">
                  <c:v>43832.375</c:v>
                </c:pt>
                <c:pt idx="34">
                  <c:v>43832.416666666664</c:v>
                </c:pt>
                <c:pt idx="35">
                  <c:v>43832.458333333336</c:v>
                </c:pt>
                <c:pt idx="36">
                  <c:v>43832.5</c:v>
                </c:pt>
                <c:pt idx="37">
                  <c:v>43832.541666666664</c:v>
                </c:pt>
                <c:pt idx="38">
                  <c:v>43832.583333333336</c:v>
                </c:pt>
                <c:pt idx="39">
                  <c:v>43832.625</c:v>
                </c:pt>
                <c:pt idx="40">
                  <c:v>43832.666666666664</c:v>
                </c:pt>
                <c:pt idx="41">
                  <c:v>43832.708333333336</c:v>
                </c:pt>
                <c:pt idx="42">
                  <c:v>43832.75</c:v>
                </c:pt>
                <c:pt idx="43">
                  <c:v>43832.791666666664</c:v>
                </c:pt>
                <c:pt idx="44">
                  <c:v>43832.833333333336</c:v>
                </c:pt>
                <c:pt idx="45">
                  <c:v>43832.875</c:v>
                </c:pt>
                <c:pt idx="46">
                  <c:v>43832.916666666664</c:v>
                </c:pt>
                <c:pt idx="47">
                  <c:v>43832.958333333336</c:v>
                </c:pt>
                <c:pt idx="48">
                  <c:v>43833</c:v>
                </c:pt>
                <c:pt idx="49">
                  <c:v>43833.041666666664</c:v>
                </c:pt>
                <c:pt idx="50">
                  <c:v>43833.083333333336</c:v>
                </c:pt>
                <c:pt idx="51">
                  <c:v>43833.125</c:v>
                </c:pt>
                <c:pt idx="52">
                  <c:v>43833.166666666664</c:v>
                </c:pt>
                <c:pt idx="53">
                  <c:v>43833.208333333336</c:v>
                </c:pt>
                <c:pt idx="54">
                  <c:v>43833.25</c:v>
                </c:pt>
                <c:pt idx="55">
                  <c:v>43833.291666666664</c:v>
                </c:pt>
                <c:pt idx="56">
                  <c:v>43833.333333333336</c:v>
                </c:pt>
                <c:pt idx="57">
                  <c:v>43833.375</c:v>
                </c:pt>
                <c:pt idx="58">
                  <c:v>43833.416666666664</c:v>
                </c:pt>
                <c:pt idx="59">
                  <c:v>43833.458333333336</c:v>
                </c:pt>
                <c:pt idx="60">
                  <c:v>43833.5</c:v>
                </c:pt>
                <c:pt idx="61">
                  <c:v>43833.541666666664</c:v>
                </c:pt>
                <c:pt idx="62">
                  <c:v>43833.583333333336</c:v>
                </c:pt>
                <c:pt idx="63">
                  <c:v>43833.625</c:v>
                </c:pt>
                <c:pt idx="64">
                  <c:v>43833.666666666664</c:v>
                </c:pt>
                <c:pt idx="65">
                  <c:v>43833.708333333336</c:v>
                </c:pt>
                <c:pt idx="66">
                  <c:v>43833.75</c:v>
                </c:pt>
                <c:pt idx="67">
                  <c:v>43833.791666666664</c:v>
                </c:pt>
                <c:pt idx="68">
                  <c:v>43833.833333333336</c:v>
                </c:pt>
                <c:pt idx="69">
                  <c:v>43833.875</c:v>
                </c:pt>
                <c:pt idx="70">
                  <c:v>43833.916666666664</c:v>
                </c:pt>
                <c:pt idx="71">
                  <c:v>43833.958333333336</c:v>
                </c:pt>
                <c:pt idx="72">
                  <c:v>43834</c:v>
                </c:pt>
                <c:pt idx="73">
                  <c:v>43834.041666666664</c:v>
                </c:pt>
                <c:pt idx="74">
                  <c:v>43834.083333333336</c:v>
                </c:pt>
                <c:pt idx="75">
                  <c:v>43834.125</c:v>
                </c:pt>
                <c:pt idx="76">
                  <c:v>43834.166666666664</c:v>
                </c:pt>
                <c:pt idx="77">
                  <c:v>43834.208333333336</c:v>
                </c:pt>
                <c:pt idx="78">
                  <c:v>43834.25</c:v>
                </c:pt>
                <c:pt idx="79">
                  <c:v>43834.291666666664</c:v>
                </c:pt>
                <c:pt idx="80">
                  <c:v>43834.333333333336</c:v>
                </c:pt>
                <c:pt idx="81">
                  <c:v>43834.375</c:v>
                </c:pt>
                <c:pt idx="82">
                  <c:v>43834.416666666664</c:v>
                </c:pt>
                <c:pt idx="83">
                  <c:v>43834.458333333336</c:v>
                </c:pt>
                <c:pt idx="84">
                  <c:v>43834.5</c:v>
                </c:pt>
                <c:pt idx="85">
                  <c:v>43834.541666666664</c:v>
                </c:pt>
                <c:pt idx="86">
                  <c:v>43834.583333333336</c:v>
                </c:pt>
                <c:pt idx="87">
                  <c:v>43834.625</c:v>
                </c:pt>
                <c:pt idx="88">
                  <c:v>43834.666666666664</c:v>
                </c:pt>
                <c:pt idx="89">
                  <c:v>43834.708333333336</c:v>
                </c:pt>
                <c:pt idx="90">
                  <c:v>43834.75</c:v>
                </c:pt>
                <c:pt idx="91">
                  <c:v>43834.791666666664</c:v>
                </c:pt>
                <c:pt idx="92">
                  <c:v>43834.833333333336</c:v>
                </c:pt>
                <c:pt idx="93">
                  <c:v>43834.875</c:v>
                </c:pt>
                <c:pt idx="94">
                  <c:v>43834.916666666664</c:v>
                </c:pt>
                <c:pt idx="95">
                  <c:v>43834.958333333336</c:v>
                </c:pt>
                <c:pt idx="96">
                  <c:v>43835</c:v>
                </c:pt>
                <c:pt idx="97">
                  <c:v>43835.041666666664</c:v>
                </c:pt>
                <c:pt idx="98">
                  <c:v>43835.083333333336</c:v>
                </c:pt>
                <c:pt idx="99">
                  <c:v>43835.125</c:v>
                </c:pt>
                <c:pt idx="100">
                  <c:v>43835.166666666664</c:v>
                </c:pt>
                <c:pt idx="101">
                  <c:v>43835.208333333336</c:v>
                </c:pt>
                <c:pt idx="102">
                  <c:v>43835.25</c:v>
                </c:pt>
                <c:pt idx="103">
                  <c:v>43835.291666666664</c:v>
                </c:pt>
                <c:pt idx="104">
                  <c:v>43835.333333333336</c:v>
                </c:pt>
                <c:pt idx="105">
                  <c:v>43835.375</c:v>
                </c:pt>
                <c:pt idx="106">
                  <c:v>43835.416666666664</c:v>
                </c:pt>
                <c:pt idx="107">
                  <c:v>43835.458333333336</c:v>
                </c:pt>
                <c:pt idx="108">
                  <c:v>43835.5</c:v>
                </c:pt>
                <c:pt idx="109">
                  <c:v>43835.541666666664</c:v>
                </c:pt>
                <c:pt idx="110">
                  <c:v>43835.583333333336</c:v>
                </c:pt>
                <c:pt idx="111">
                  <c:v>43835.625</c:v>
                </c:pt>
                <c:pt idx="112">
                  <c:v>43835.666666666664</c:v>
                </c:pt>
                <c:pt idx="113">
                  <c:v>43835.708333333336</c:v>
                </c:pt>
                <c:pt idx="114">
                  <c:v>43835.75</c:v>
                </c:pt>
                <c:pt idx="115">
                  <c:v>43835.791666666664</c:v>
                </c:pt>
                <c:pt idx="116">
                  <c:v>43835.833333333336</c:v>
                </c:pt>
                <c:pt idx="117">
                  <c:v>43835.875</c:v>
                </c:pt>
                <c:pt idx="118">
                  <c:v>43835.916666666664</c:v>
                </c:pt>
                <c:pt idx="119">
                  <c:v>43835.958333333336</c:v>
                </c:pt>
                <c:pt idx="120">
                  <c:v>43836</c:v>
                </c:pt>
                <c:pt idx="121">
                  <c:v>43836.041666666664</c:v>
                </c:pt>
                <c:pt idx="122">
                  <c:v>43836.083333333336</c:v>
                </c:pt>
                <c:pt idx="123">
                  <c:v>43836.125</c:v>
                </c:pt>
                <c:pt idx="124">
                  <c:v>43836.166666666664</c:v>
                </c:pt>
                <c:pt idx="125">
                  <c:v>43836.208333333336</c:v>
                </c:pt>
                <c:pt idx="126">
                  <c:v>43836.25</c:v>
                </c:pt>
                <c:pt idx="127">
                  <c:v>43836.291666666664</c:v>
                </c:pt>
                <c:pt idx="128">
                  <c:v>43836.333333333336</c:v>
                </c:pt>
                <c:pt idx="129">
                  <c:v>43836.375</c:v>
                </c:pt>
                <c:pt idx="130">
                  <c:v>43836.416666666664</c:v>
                </c:pt>
                <c:pt idx="131">
                  <c:v>43836.458333333336</c:v>
                </c:pt>
                <c:pt idx="132">
                  <c:v>43836.5</c:v>
                </c:pt>
                <c:pt idx="133">
                  <c:v>43836.541666666664</c:v>
                </c:pt>
                <c:pt idx="134">
                  <c:v>43836.583333333336</c:v>
                </c:pt>
                <c:pt idx="135">
                  <c:v>43836.625</c:v>
                </c:pt>
                <c:pt idx="136">
                  <c:v>43836.666666666664</c:v>
                </c:pt>
                <c:pt idx="137">
                  <c:v>43836.708333333336</c:v>
                </c:pt>
                <c:pt idx="138">
                  <c:v>43836.75</c:v>
                </c:pt>
                <c:pt idx="139">
                  <c:v>43836.791666666664</c:v>
                </c:pt>
                <c:pt idx="140">
                  <c:v>43836.833333333336</c:v>
                </c:pt>
                <c:pt idx="141">
                  <c:v>43836.875</c:v>
                </c:pt>
                <c:pt idx="142">
                  <c:v>43836.916666666664</c:v>
                </c:pt>
                <c:pt idx="143">
                  <c:v>43836.958333333336</c:v>
                </c:pt>
                <c:pt idx="144">
                  <c:v>43837</c:v>
                </c:pt>
                <c:pt idx="145">
                  <c:v>43837.041666666664</c:v>
                </c:pt>
                <c:pt idx="146">
                  <c:v>43837.083333333336</c:v>
                </c:pt>
                <c:pt idx="147">
                  <c:v>43837.125</c:v>
                </c:pt>
                <c:pt idx="148">
                  <c:v>43837.166666666664</c:v>
                </c:pt>
                <c:pt idx="149">
                  <c:v>43837.208333333336</c:v>
                </c:pt>
                <c:pt idx="150">
                  <c:v>43837.25</c:v>
                </c:pt>
                <c:pt idx="151">
                  <c:v>43837.291666666664</c:v>
                </c:pt>
                <c:pt idx="152">
                  <c:v>43837.333333333336</c:v>
                </c:pt>
                <c:pt idx="153">
                  <c:v>43837.375</c:v>
                </c:pt>
                <c:pt idx="154">
                  <c:v>43837.416666666664</c:v>
                </c:pt>
                <c:pt idx="155">
                  <c:v>43837.458333333336</c:v>
                </c:pt>
                <c:pt idx="156">
                  <c:v>43837.5</c:v>
                </c:pt>
                <c:pt idx="157">
                  <c:v>43837.541666666664</c:v>
                </c:pt>
                <c:pt idx="158">
                  <c:v>43837.583333333336</c:v>
                </c:pt>
                <c:pt idx="159">
                  <c:v>43837.625</c:v>
                </c:pt>
                <c:pt idx="160">
                  <c:v>43837.666666666664</c:v>
                </c:pt>
                <c:pt idx="161">
                  <c:v>43837.708333333336</c:v>
                </c:pt>
                <c:pt idx="162">
                  <c:v>43837.75</c:v>
                </c:pt>
                <c:pt idx="163">
                  <c:v>43837.791666666664</c:v>
                </c:pt>
                <c:pt idx="164">
                  <c:v>43837.833333333336</c:v>
                </c:pt>
                <c:pt idx="165">
                  <c:v>43837.875</c:v>
                </c:pt>
                <c:pt idx="166">
                  <c:v>43837.916666666664</c:v>
                </c:pt>
                <c:pt idx="167">
                  <c:v>43837.958333333336</c:v>
                </c:pt>
                <c:pt idx="168">
                  <c:v>43838</c:v>
                </c:pt>
                <c:pt idx="169">
                  <c:v>43838.041666666664</c:v>
                </c:pt>
                <c:pt idx="170">
                  <c:v>43838.083333333336</c:v>
                </c:pt>
                <c:pt idx="171">
                  <c:v>43838.125</c:v>
                </c:pt>
                <c:pt idx="172">
                  <c:v>43838.166666666664</c:v>
                </c:pt>
                <c:pt idx="173">
                  <c:v>43838.208333333336</c:v>
                </c:pt>
                <c:pt idx="174">
                  <c:v>43838.25</c:v>
                </c:pt>
                <c:pt idx="175">
                  <c:v>43838.291666666664</c:v>
                </c:pt>
                <c:pt idx="176">
                  <c:v>43838.333333333336</c:v>
                </c:pt>
                <c:pt idx="177">
                  <c:v>43838.375</c:v>
                </c:pt>
                <c:pt idx="178">
                  <c:v>43838.416666666664</c:v>
                </c:pt>
                <c:pt idx="179">
                  <c:v>43838.458333333336</c:v>
                </c:pt>
                <c:pt idx="180">
                  <c:v>43838.5</c:v>
                </c:pt>
                <c:pt idx="181">
                  <c:v>43838.541666666664</c:v>
                </c:pt>
                <c:pt idx="182">
                  <c:v>43838.583333333336</c:v>
                </c:pt>
                <c:pt idx="183">
                  <c:v>43838.625</c:v>
                </c:pt>
                <c:pt idx="184">
                  <c:v>43838.666666666664</c:v>
                </c:pt>
                <c:pt idx="185">
                  <c:v>43838.708333333336</c:v>
                </c:pt>
                <c:pt idx="186">
                  <c:v>43838.75</c:v>
                </c:pt>
                <c:pt idx="187">
                  <c:v>43838.791666666664</c:v>
                </c:pt>
                <c:pt idx="188">
                  <c:v>43838.833333333336</c:v>
                </c:pt>
                <c:pt idx="189">
                  <c:v>43838.875</c:v>
                </c:pt>
                <c:pt idx="190">
                  <c:v>43838.916666666664</c:v>
                </c:pt>
                <c:pt idx="191">
                  <c:v>43838.958333333336</c:v>
                </c:pt>
                <c:pt idx="192">
                  <c:v>43839</c:v>
                </c:pt>
                <c:pt idx="193">
                  <c:v>43839.041666666664</c:v>
                </c:pt>
                <c:pt idx="194">
                  <c:v>43839.083333333336</c:v>
                </c:pt>
                <c:pt idx="195">
                  <c:v>43839.125</c:v>
                </c:pt>
                <c:pt idx="196">
                  <c:v>43839.166666666664</c:v>
                </c:pt>
                <c:pt idx="197">
                  <c:v>43839.208333333336</c:v>
                </c:pt>
                <c:pt idx="198">
                  <c:v>43839.25</c:v>
                </c:pt>
                <c:pt idx="199">
                  <c:v>43839.291666666664</c:v>
                </c:pt>
                <c:pt idx="200">
                  <c:v>43839.333333333336</c:v>
                </c:pt>
                <c:pt idx="201">
                  <c:v>43839.375</c:v>
                </c:pt>
                <c:pt idx="202">
                  <c:v>43839.416666666664</c:v>
                </c:pt>
                <c:pt idx="203">
                  <c:v>43839.458333333336</c:v>
                </c:pt>
                <c:pt idx="204">
                  <c:v>43839.5</c:v>
                </c:pt>
                <c:pt idx="205">
                  <c:v>43839.541666666664</c:v>
                </c:pt>
                <c:pt idx="206">
                  <c:v>43839.583333333336</c:v>
                </c:pt>
                <c:pt idx="207">
                  <c:v>43839.625</c:v>
                </c:pt>
                <c:pt idx="208">
                  <c:v>43839.666666666664</c:v>
                </c:pt>
                <c:pt idx="209">
                  <c:v>43839.708333333336</c:v>
                </c:pt>
                <c:pt idx="210">
                  <c:v>43839.75</c:v>
                </c:pt>
                <c:pt idx="211">
                  <c:v>43839.791666666664</c:v>
                </c:pt>
                <c:pt idx="212">
                  <c:v>43839.833333333336</c:v>
                </c:pt>
                <c:pt idx="213">
                  <c:v>43839.875</c:v>
                </c:pt>
                <c:pt idx="214">
                  <c:v>43839.916666666664</c:v>
                </c:pt>
                <c:pt idx="215">
                  <c:v>43839.958333333336</c:v>
                </c:pt>
                <c:pt idx="216">
                  <c:v>43840</c:v>
                </c:pt>
                <c:pt idx="217">
                  <c:v>43840.041666666664</c:v>
                </c:pt>
                <c:pt idx="218">
                  <c:v>43840.083333333336</c:v>
                </c:pt>
                <c:pt idx="219">
                  <c:v>43840.125</c:v>
                </c:pt>
                <c:pt idx="220">
                  <c:v>43840.166666666664</c:v>
                </c:pt>
                <c:pt idx="221">
                  <c:v>43840.208333333336</c:v>
                </c:pt>
                <c:pt idx="222">
                  <c:v>43840.25</c:v>
                </c:pt>
                <c:pt idx="223">
                  <c:v>43840.291666666664</c:v>
                </c:pt>
                <c:pt idx="224">
                  <c:v>43840.333333333336</c:v>
                </c:pt>
                <c:pt idx="225">
                  <c:v>43840.375</c:v>
                </c:pt>
                <c:pt idx="226">
                  <c:v>43840.416666666664</c:v>
                </c:pt>
                <c:pt idx="227">
                  <c:v>43840.458333333336</c:v>
                </c:pt>
                <c:pt idx="228">
                  <c:v>43840.5</c:v>
                </c:pt>
                <c:pt idx="229">
                  <c:v>43840.541666666664</c:v>
                </c:pt>
                <c:pt idx="230">
                  <c:v>43840.583333333336</c:v>
                </c:pt>
                <c:pt idx="231">
                  <c:v>43840.625</c:v>
                </c:pt>
                <c:pt idx="232">
                  <c:v>43840.666666666664</c:v>
                </c:pt>
                <c:pt idx="233">
                  <c:v>43840.708333333336</c:v>
                </c:pt>
                <c:pt idx="234">
                  <c:v>43840.75</c:v>
                </c:pt>
                <c:pt idx="235">
                  <c:v>43840.791666666664</c:v>
                </c:pt>
                <c:pt idx="236">
                  <c:v>43840.833333333336</c:v>
                </c:pt>
                <c:pt idx="237">
                  <c:v>43840.875</c:v>
                </c:pt>
                <c:pt idx="238">
                  <c:v>43840.916666666664</c:v>
                </c:pt>
                <c:pt idx="239">
                  <c:v>43840.958333333336</c:v>
                </c:pt>
                <c:pt idx="240">
                  <c:v>43841</c:v>
                </c:pt>
                <c:pt idx="241">
                  <c:v>43841.041666666664</c:v>
                </c:pt>
                <c:pt idx="242">
                  <c:v>43841.083333333336</c:v>
                </c:pt>
                <c:pt idx="243">
                  <c:v>43841.125</c:v>
                </c:pt>
                <c:pt idx="244">
                  <c:v>43841.166666666664</c:v>
                </c:pt>
                <c:pt idx="245">
                  <c:v>43841.208333333336</c:v>
                </c:pt>
                <c:pt idx="246">
                  <c:v>43841.25</c:v>
                </c:pt>
                <c:pt idx="247">
                  <c:v>43841.291666666664</c:v>
                </c:pt>
                <c:pt idx="248">
                  <c:v>43841.333333333336</c:v>
                </c:pt>
                <c:pt idx="249">
                  <c:v>43841.375</c:v>
                </c:pt>
                <c:pt idx="250">
                  <c:v>43841.416666666664</c:v>
                </c:pt>
                <c:pt idx="251">
                  <c:v>43841.458333333336</c:v>
                </c:pt>
                <c:pt idx="252">
                  <c:v>43841.5</c:v>
                </c:pt>
                <c:pt idx="253">
                  <c:v>43841.541666666664</c:v>
                </c:pt>
                <c:pt idx="254">
                  <c:v>43841.583333333336</c:v>
                </c:pt>
                <c:pt idx="255">
                  <c:v>43841.625</c:v>
                </c:pt>
                <c:pt idx="256">
                  <c:v>43841.666666666664</c:v>
                </c:pt>
                <c:pt idx="257">
                  <c:v>43841.708333333336</c:v>
                </c:pt>
                <c:pt idx="258">
                  <c:v>43841.75</c:v>
                </c:pt>
                <c:pt idx="259">
                  <c:v>43841.791666666664</c:v>
                </c:pt>
                <c:pt idx="260">
                  <c:v>43841.833333333336</c:v>
                </c:pt>
                <c:pt idx="261">
                  <c:v>43841.875</c:v>
                </c:pt>
                <c:pt idx="262">
                  <c:v>43841.916666666664</c:v>
                </c:pt>
                <c:pt idx="263">
                  <c:v>43841.958333333336</c:v>
                </c:pt>
                <c:pt idx="264">
                  <c:v>43842</c:v>
                </c:pt>
                <c:pt idx="265">
                  <c:v>43842.041666666664</c:v>
                </c:pt>
                <c:pt idx="266">
                  <c:v>43842.083333333336</c:v>
                </c:pt>
                <c:pt idx="267">
                  <c:v>43842.125</c:v>
                </c:pt>
                <c:pt idx="268">
                  <c:v>43842.166666666664</c:v>
                </c:pt>
                <c:pt idx="269">
                  <c:v>43842.208333333336</c:v>
                </c:pt>
                <c:pt idx="270">
                  <c:v>43842.25</c:v>
                </c:pt>
                <c:pt idx="271">
                  <c:v>43842.291666666664</c:v>
                </c:pt>
                <c:pt idx="272">
                  <c:v>43842.333333333336</c:v>
                </c:pt>
                <c:pt idx="273">
                  <c:v>43842.375</c:v>
                </c:pt>
                <c:pt idx="274">
                  <c:v>43842.416666666664</c:v>
                </c:pt>
                <c:pt idx="275">
                  <c:v>43842.458333333336</c:v>
                </c:pt>
                <c:pt idx="276">
                  <c:v>43842.5</c:v>
                </c:pt>
                <c:pt idx="277">
                  <c:v>43842.541666666664</c:v>
                </c:pt>
                <c:pt idx="278">
                  <c:v>43842.583333333336</c:v>
                </c:pt>
                <c:pt idx="279">
                  <c:v>43842.625</c:v>
                </c:pt>
                <c:pt idx="280">
                  <c:v>43842.666666666664</c:v>
                </c:pt>
                <c:pt idx="281">
                  <c:v>43842.708333333336</c:v>
                </c:pt>
                <c:pt idx="282">
                  <c:v>43842.75</c:v>
                </c:pt>
                <c:pt idx="283">
                  <c:v>43842.791666666664</c:v>
                </c:pt>
                <c:pt idx="284">
                  <c:v>43842.833333333336</c:v>
                </c:pt>
                <c:pt idx="285">
                  <c:v>43842.875</c:v>
                </c:pt>
                <c:pt idx="286">
                  <c:v>43842.916666666664</c:v>
                </c:pt>
                <c:pt idx="287">
                  <c:v>43842.958333333336</c:v>
                </c:pt>
                <c:pt idx="288">
                  <c:v>43843</c:v>
                </c:pt>
                <c:pt idx="289">
                  <c:v>43843.041666666664</c:v>
                </c:pt>
                <c:pt idx="290">
                  <c:v>43843.083333333336</c:v>
                </c:pt>
                <c:pt idx="291">
                  <c:v>43843.125</c:v>
                </c:pt>
                <c:pt idx="292">
                  <c:v>43843.166666666664</c:v>
                </c:pt>
                <c:pt idx="293">
                  <c:v>43843.208333333336</c:v>
                </c:pt>
                <c:pt idx="294">
                  <c:v>43843.25</c:v>
                </c:pt>
                <c:pt idx="295">
                  <c:v>43843.291666666664</c:v>
                </c:pt>
                <c:pt idx="296">
                  <c:v>43843.333333333336</c:v>
                </c:pt>
                <c:pt idx="297">
                  <c:v>43843.375</c:v>
                </c:pt>
                <c:pt idx="298">
                  <c:v>43843.416666666664</c:v>
                </c:pt>
                <c:pt idx="299">
                  <c:v>43843.458333333336</c:v>
                </c:pt>
                <c:pt idx="300">
                  <c:v>43843.5</c:v>
                </c:pt>
                <c:pt idx="301">
                  <c:v>43843.541666666664</c:v>
                </c:pt>
                <c:pt idx="302">
                  <c:v>43843.583333333336</c:v>
                </c:pt>
                <c:pt idx="303">
                  <c:v>43843.625</c:v>
                </c:pt>
                <c:pt idx="304">
                  <c:v>43843.666666666664</c:v>
                </c:pt>
                <c:pt idx="305">
                  <c:v>43843.708333333336</c:v>
                </c:pt>
                <c:pt idx="306">
                  <c:v>43843.75</c:v>
                </c:pt>
                <c:pt idx="307">
                  <c:v>43843.791666666664</c:v>
                </c:pt>
                <c:pt idx="308">
                  <c:v>43843.833333333336</c:v>
                </c:pt>
                <c:pt idx="309">
                  <c:v>43843.875</c:v>
                </c:pt>
                <c:pt idx="310">
                  <c:v>43843.916666666664</c:v>
                </c:pt>
                <c:pt idx="311">
                  <c:v>43843.958333333336</c:v>
                </c:pt>
                <c:pt idx="312">
                  <c:v>43844</c:v>
                </c:pt>
                <c:pt idx="313">
                  <c:v>43844.041666666664</c:v>
                </c:pt>
                <c:pt idx="314">
                  <c:v>43844.083333333336</c:v>
                </c:pt>
                <c:pt idx="315">
                  <c:v>43844.125</c:v>
                </c:pt>
                <c:pt idx="316">
                  <c:v>43844.166666666664</c:v>
                </c:pt>
                <c:pt idx="317">
                  <c:v>43844.208333333336</c:v>
                </c:pt>
                <c:pt idx="318">
                  <c:v>43844.25</c:v>
                </c:pt>
                <c:pt idx="319">
                  <c:v>43844.291666666664</c:v>
                </c:pt>
                <c:pt idx="320">
                  <c:v>43844.333333333336</c:v>
                </c:pt>
                <c:pt idx="321">
                  <c:v>43844.375</c:v>
                </c:pt>
                <c:pt idx="322">
                  <c:v>43844.416666666664</c:v>
                </c:pt>
                <c:pt idx="323">
                  <c:v>43844.458333333336</c:v>
                </c:pt>
                <c:pt idx="324">
                  <c:v>43844.5</c:v>
                </c:pt>
                <c:pt idx="325">
                  <c:v>43844.541666666664</c:v>
                </c:pt>
                <c:pt idx="326">
                  <c:v>43844.583333333336</c:v>
                </c:pt>
                <c:pt idx="327">
                  <c:v>43844.625</c:v>
                </c:pt>
                <c:pt idx="328">
                  <c:v>43844.666666666664</c:v>
                </c:pt>
                <c:pt idx="329">
                  <c:v>43844.708333333336</c:v>
                </c:pt>
                <c:pt idx="330">
                  <c:v>43844.75</c:v>
                </c:pt>
                <c:pt idx="331">
                  <c:v>43844.791666666664</c:v>
                </c:pt>
                <c:pt idx="332">
                  <c:v>43844.833333333336</c:v>
                </c:pt>
                <c:pt idx="333">
                  <c:v>43844.875</c:v>
                </c:pt>
                <c:pt idx="334">
                  <c:v>43844.916666666664</c:v>
                </c:pt>
                <c:pt idx="335">
                  <c:v>43844.958333333336</c:v>
                </c:pt>
                <c:pt idx="336" formatCode="General">
                  <c:v>43845</c:v>
                </c:pt>
                <c:pt idx="337" formatCode="General">
                  <c:v>43845.041666666664</c:v>
                </c:pt>
                <c:pt idx="338" formatCode="General">
                  <c:v>43845.083333333336</c:v>
                </c:pt>
                <c:pt idx="339" formatCode="General">
                  <c:v>43845.125</c:v>
                </c:pt>
                <c:pt idx="340" formatCode="General">
                  <c:v>43845.166666666664</c:v>
                </c:pt>
                <c:pt idx="341" formatCode="General">
                  <c:v>43845.208333333336</c:v>
                </c:pt>
                <c:pt idx="342" formatCode="General">
                  <c:v>43845.25</c:v>
                </c:pt>
                <c:pt idx="343" formatCode="General">
                  <c:v>43845.291666666664</c:v>
                </c:pt>
                <c:pt idx="344" formatCode="General">
                  <c:v>43845.333333333336</c:v>
                </c:pt>
                <c:pt idx="345" formatCode="General">
                  <c:v>43845.375</c:v>
                </c:pt>
                <c:pt idx="346" formatCode="General">
                  <c:v>43845.416666666664</c:v>
                </c:pt>
                <c:pt idx="347" formatCode="General">
                  <c:v>43845.458333333336</c:v>
                </c:pt>
                <c:pt idx="348" formatCode="General">
                  <c:v>43845.5</c:v>
                </c:pt>
                <c:pt idx="349" formatCode="General">
                  <c:v>43845.541666666664</c:v>
                </c:pt>
                <c:pt idx="350" formatCode="General">
                  <c:v>43845.583333333336</c:v>
                </c:pt>
                <c:pt idx="351" formatCode="General">
                  <c:v>43845.625</c:v>
                </c:pt>
                <c:pt idx="352" formatCode="General">
                  <c:v>43845.666666666664</c:v>
                </c:pt>
                <c:pt idx="353" formatCode="General">
                  <c:v>43845.708333333336</c:v>
                </c:pt>
                <c:pt idx="354" formatCode="General">
                  <c:v>43845.75</c:v>
                </c:pt>
                <c:pt idx="355" formatCode="General">
                  <c:v>43845.791666666664</c:v>
                </c:pt>
                <c:pt idx="356" formatCode="General">
                  <c:v>43845.833333333336</c:v>
                </c:pt>
                <c:pt idx="357" formatCode="General">
                  <c:v>43845.875</c:v>
                </c:pt>
                <c:pt idx="358" formatCode="General">
                  <c:v>43845.916666666664</c:v>
                </c:pt>
                <c:pt idx="359" formatCode="General">
                  <c:v>43845.958333333336</c:v>
                </c:pt>
              </c:numCache>
            </c:numRef>
          </c:xVal>
          <c:yVal>
            <c:numRef>
              <c:f>[0]!_chartObservations</c:f>
              <c:numCache>
                <c:formatCode>General</c:formatCode>
                <c:ptCount val="360"/>
                <c:pt idx="0">
                  <c:v>0.20200000000000001</c:v>
                </c:pt>
                <c:pt idx="1">
                  <c:v>0.19</c:v>
                </c:pt>
                <c:pt idx="2">
                  <c:v>0.121</c:v>
                </c:pt>
                <c:pt idx="3">
                  <c:v>1.4999999999999999E-2</c:v>
                </c:pt>
                <c:pt idx="4">
                  <c:v>9.8000000000000004E-2</c:v>
                </c:pt>
                <c:pt idx="5">
                  <c:v>0.185</c:v>
                </c:pt>
                <c:pt idx="6">
                  <c:v>0.22</c:v>
                </c:pt>
                <c:pt idx="7">
                  <c:v>0.191</c:v>
                </c:pt>
                <c:pt idx="8">
                  <c:v>0.10299999999999999</c:v>
                </c:pt>
                <c:pt idx="9">
                  <c:v>2.4E-2</c:v>
                </c:pt>
                <c:pt idx="10">
                  <c:v>0.157</c:v>
                </c:pt>
                <c:pt idx="11">
                  <c:v>0.26100000000000001</c:v>
                </c:pt>
                <c:pt idx="12">
                  <c:v>0.308</c:v>
                </c:pt>
                <c:pt idx="13">
                  <c:v>0.28299999999999997</c:v>
                </c:pt>
                <c:pt idx="14">
                  <c:v>0.189</c:v>
                </c:pt>
                <c:pt idx="15">
                  <c:v>4.7E-2</c:v>
                </c:pt>
                <c:pt idx="16">
                  <c:v>0.109</c:v>
                </c:pt>
                <c:pt idx="17">
                  <c:v>0.24099999999999999</c:v>
                </c:pt>
                <c:pt idx="18">
                  <c:v>0.315</c:v>
                </c:pt>
                <c:pt idx="19">
                  <c:v>0.314</c:v>
                </c:pt>
                <c:pt idx="20">
                  <c:v>0.23599999999999999</c:v>
                </c:pt>
                <c:pt idx="21">
                  <c:v>0.10199999999999999</c:v>
                </c:pt>
                <c:pt idx="22">
                  <c:v>5.5E-2</c:v>
                </c:pt>
                <c:pt idx="23">
                  <c:v>0.19500000000000001</c:v>
                </c:pt>
                <c:pt idx="24">
                  <c:v>0.28399999999999997</c:v>
                </c:pt>
                <c:pt idx="25">
                  <c:v>0.29799999999999999</c:v>
                </c:pt>
                <c:pt idx="26">
                  <c:v>0.23400000000000001</c:v>
                </c:pt>
                <c:pt idx="27">
                  <c:v>0.11</c:v>
                </c:pt>
                <c:pt idx="28">
                  <c:v>4.2999999999999997E-2</c:v>
                </c:pt>
                <c:pt idx="29">
                  <c:v>0.184</c:v>
                </c:pt>
                <c:pt idx="30">
                  <c:v>0.27600000000000002</c:v>
                </c:pt>
                <c:pt idx="31">
                  <c:v>0.29599999999999999</c:v>
                </c:pt>
                <c:pt idx="32">
                  <c:v>0.23699999999999999</c:v>
                </c:pt>
                <c:pt idx="33">
                  <c:v>0.115</c:v>
                </c:pt>
                <c:pt idx="34">
                  <c:v>3.6999999999999998E-2</c:v>
                </c:pt>
                <c:pt idx="35">
                  <c:v>0.18099999999999999</c:v>
                </c:pt>
                <c:pt idx="36">
                  <c:v>0.27600000000000002</c:v>
                </c:pt>
                <c:pt idx="37">
                  <c:v>0.29799999999999999</c:v>
                </c:pt>
                <c:pt idx="38">
                  <c:v>0.23799999999999999</c:v>
                </c:pt>
                <c:pt idx="39">
                  <c:v>0.111</c:v>
                </c:pt>
                <c:pt idx="40">
                  <c:v>4.9000000000000002E-2</c:v>
                </c:pt>
                <c:pt idx="41">
                  <c:v>0.20300000000000001</c:v>
                </c:pt>
                <c:pt idx="42">
                  <c:v>0.307</c:v>
                </c:pt>
                <c:pt idx="43">
                  <c:v>0.33400000000000002</c:v>
                </c:pt>
                <c:pt idx="44">
                  <c:v>0.27400000000000002</c:v>
                </c:pt>
                <c:pt idx="45">
                  <c:v>0.13900000000000001</c:v>
                </c:pt>
                <c:pt idx="46">
                  <c:v>3.6999999999999998E-2</c:v>
                </c:pt>
                <c:pt idx="47">
                  <c:v>0.21299999999999999</c:v>
                </c:pt>
                <c:pt idx="48">
                  <c:v>0.34200000000000003</c:v>
                </c:pt>
                <c:pt idx="49">
                  <c:v>0.39400000000000002</c:v>
                </c:pt>
                <c:pt idx="50">
                  <c:v>0.35299999999999998</c:v>
                </c:pt>
                <c:pt idx="51">
                  <c:v>0.22900000000000001</c:v>
                </c:pt>
                <c:pt idx="52">
                  <c:v>5.2999999999999999E-2</c:v>
                </c:pt>
                <c:pt idx="53">
                  <c:v>0.13200000000000001</c:v>
                </c:pt>
                <c:pt idx="54">
                  <c:v>0.28100000000000003</c:v>
                </c:pt>
                <c:pt idx="55">
                  <c:v>0.35699999999999998</c:v>
                </c:pt>
                <c:pt idx="56">
                  <c:v>0.34399999999999997</c:v>
                </c:pt>
                <c:pt idx="57">
                  <c:v>0.248</c:v>
                </c:pt>
                <c:pt idx="58">
                  <c:v>9.6000000000000002E-2</c:v>
                </c:pt>
                <c:pt idx="59">
                  <c:v>7.0000000000000007E-2</c:v>
                </c:pt>
                <c:pt idx="60">
                  <c:v>0.20599999999999999</c:v>
                </c:pt>
                <c:pt idx="61">
                  <c:v>0.27400000000000002</c:v>
                </c:pt>
                <c:pt idx="62">
                  <c:v>0.25700000000000001</c:v>
                </c:pt>
                <c:pt idx="63">
                  <c:v>0.16</c:v>
                </c:pt>
                <c:pt idx="64">
                  <c:v>8.0000000000000002E-3</c:v>
                </c:pt>
                <c:pt idx="65">
                  <c:v>0.155</c:v>
                </c:pt>
                <c:pt idx="66">
                  <c:v>0.28399999999999997</c:v>
                </c:pt>
                <c:pt idx="67">
                  <c:v>0.34200000000000003</c:v>
                </c:pt>
                <c:pt idx="68">
                  <c:v>0.308</c:v>
                </c:pt>
                <c:pt idx="69">
                  <c:v>0.186</c:v>
                </c:pt>
                <c:pt idx="70">
                  <c:v>3.0000000000000001E-3</c:v>
                </c:pt>
                <c:pt idx="71">
                  <c:v>0.19800000000000001</c:v>
                </c:pt>
                <c:pt idx="72">
                  <c:v>0.36599999999999999</c:v>
                </c:pt>
                <c:pt idx="73">
                  <c:v>0.46100000000000002</c:v>
                </c:pt>
                <c:pt idx="74">
                  <c:v>0.45600000000000002</c:v>
                </c:pt>
                <c:pt idx="75">
                  <c:v>0.35299999999999998</c:v>
                </c:pt>
                <c:pt idx="76">
                  <c:v>0.17399999999999999</c:v>
                </c:pt>
                <c:pt idx="77">
                  <c:v>3.7999999999999999E-2</c:v>
                </c:pt>
                <c:pt idx="78">
                  <c:v>0.23200000000000001</c:v>
                </c:pt>
                <c:pt idx="79">
                  <c:v>0.36499999999999999</c:v>
                </c:pt>
                <c:pt idx="80">
                  <c:v>0.40699999999999997</c:v>
                </c:pt>
                <c:pt idx="81">
                  <c:v>0.35399999999999998</c:v>
                </c:pt>
                <c:pt idx="82">
                  <c:v>0.223</c:v>
                </c:pt>
                <c:pt idx="83">
                  <c:v>5.2999999999999999E-2</c:v>
                </c:pt>
                <c:pt idx="84">
                  <c:v>0.107</c:v>
                </c:pt>
                <c:pt idx="85">
                  <c:v>0.216</c:v>
                </c:pt>
                <c:pt idx="86">
                  <c:v>0.24399999999999999</c:v>
                </c:pt>
                <c:pt idx="87">
                  <c:v>0.185</c:v>
                </c:pt>
                <c:pt idx="88">
                  <c:v>5.6000000000000001E-2</c:v>
                </c:pt>
                <c:pt idx="89">
                  <c:v>0.104</c:v>
                </c:pt>
                <c:pt idx="90">
                  <c:v>0.248</c:v>
                </c:pt>
                <c:pt idx="91">
                  <c:v>0.33300000000000002</c:v>
                </c:pt>
                <c:pt idx="92">
                  <c:v>0.33</c:v>
                </c:pt>
                <c:pt idx="93">
                  <c:v>0.23100000000000001</c:v>
                </c:pt>
                <c:pt idx="94">
                  <c:v>5.7000000000000002E-2</c:v>
                </c:pt>
                <c:pt idx="95">
                  <c:v>0.154</c:v>
                </c:pt>
                <c:pt idx="96">
                  <c:v>0.35099999999999998</c:v>
                </c:pt>
                <c:pt idx="97">
                  <c:v>0.48699999999999999</c:v>
                </c:pt>
                <c:pt idx="98">
                  <c:v>0.52700000000000002</c:v>
                </c:pt>
                <c:pt idx="99">
                  <c:v>0.46</c:v>
                </c:pt>
                <c:pt idx="100">
                  <c:v>0.29899999999999999</c:v>
                </c:pt>
                <c:pt idx="101">
                  <c:v>8.3000000000000004E-2</c:v>
                </c:pt>
                <c:pt idx="102">
                  <c:v>0.14000000000000001</c:v>
                </c:pt>
                <c:pt idx="103">
                  <c:v>0.32</c:v>
                </c:pt>
                <c:pt idx="104">
                  <c:v>0.41699999999999998</c:v>
                </c:pt>
                <c:pt idx="105">
                  <c:v>0.41599999999999998</c:v>
                </c:pt>
                <c:pt idx="106">
                  <c:v>0.32300000000000001</c:v>
                </c:pt>
                <c:pt idx="107">
                  <c:v>0.17100000000000001</c:v>
                </c:pt>
                <c:pt idx="108">
                  <c:v>4.0000000000000001E-3</c:v>
                </c:pt>
                <c:pt idx="109">
                  <c:v>0.13200000000000001</c:v>
                </c:pt>
                <c:pt idx="110">
                  <c:v>0.19900000000000001</c:v>
                </c:pt>
                <c:pt idx="111">
                  <c:v>0.18099999999999999</c:v>
                </c:pt>
                <c:pt idx="112">
                  <c:v>8.5000000000000006E-2</c:v>
                </c:pt>
                <c:pt idx="113">
                  <c:v>5.7000000000000002E-2</c:v>
                </c:pt>
                <c:pt idx="114">
                  <c:v>0.20399999999999999</c:v>
                </c:pt>
                <c:pt idx="115">
                  <c:v>0.308</c:v>
                </c:pt>
                <c:pt idx="116">
                  <c:v>0.33400000000000002</c:v>
                </c:pt>
                <c:pt idx="117">
                  <c:v>0.26700000000000002</c:v>
                </c:pt>
                <c:pt idx="118">
                  <c:v>0.114</c:v>
                </c:pt>
                <c:pt idx="119">
                  <c:v>9.1999999999999998E-2</c:v>
                </c:pt>
                <c:pt idx="120">
                  <c:v>0.30499999999999999</c:v>
                </c:pt>
                <c:pt idx="121">
                  <c:v>0.47399999999999998</c:v>
                </c:pt>
                <c:pt idx="122">
                  <c:v>0.55700000000000005</c:v>
                </c:pt>
                <c:pt idx="123">
                  <c:v>0.53400000000000003</c:v>
                </c:pt>
                <c:pt idx="124">
                  <c:v>0.40799999999999997</c:v>
                </c:pt>
                <c:pt idx="125">
                  <c:v>0.20799999999999999</c:v>
                </c:pt>
                <c:pt idx="126">
                  <c:v>2.3E-2</c:v>
                </c:pt>
                <c:pt idx="127">
                  <c:v>0.23200000000000001</c:v>
                </c:pt>
                <c:pt idx="128">
                  <c:v>0.376</c:v>
                </c:pt>
                <c:pt idx="129">
                  <c:v>0.42699999999999999</c:v>
                </c:pt>
                <c:pt idx="130">
                  <c:v>0.38300000000000001</c:v>
                </c:pt>
                <c:pt idx="131">
                  <c:v>0.26500000000000001</c:v>
                </c:pt>
                <c:pt idx="132">
                  <c:v>0.11</c:v>
                </c:pt>
                <c:pt idx="133">
                  <c:v>3.4000000000000002E-2</c:v>
                </c:pt>
                <c:pt idx="134">
                  <c:v>0.128</c:v>
                </c:pt>
                <c:pt idx="135">
                  <c:v>0.14799999999999999</c:v>
                </c:pt>
                <c:pt idx="136">
                  <c:v>8.8999999999999996E-2</c:v>
                </c:pt>
                <c:pt idx="137">
                  <c:v>2.5999999999999999E-2</c:v>
                </c:pt>
                <c:pt idx="138">
                  <c:v>0.16200000000000001</c:v>
                </c:pt>
                <c:pt idx="139">
                  <c:v>0.27400000000000002</c:v>
                </c:pt>
                <c:pt idx="140">
                  <c:v>0.32300000000000001</c:v>
                </c:pt>
                <c:pt idx="141">
                  <c:v>0.28599999999999998</c:v>
                </c:pt>
                <c:pt idx="142">
                  <c:v>0.16200000000000001</c:v>
                </c:pt>
                <c:pt idx="143">
                  <c:v>2.7E-2</c:v>
                </c:pt>
                <c:pt idx="144">
                  <c:v>0.24</c:v>
                </c:pt>
                <c:pt idx="145">
                  <c:v>0.42799999999999999</c:v>
                </c:pt>
                <c:pt idx="146">
                  <c:v>0.54800000000000004</c:v>
                </c:pt>
                <c:pt idx="147">
                  <c:v>0.56999999999999995</c:v>
                </c:pt>
                <c:pt idx="148">
                  <c:v>0.48799999999999999</c:v>
                </c:pt>
                <c:pt idx="149">
                  <c:v>0.32</c:v>
                </c:pt>
                <c:pt idx="150">
                  <c:v>0.10199999999999999</c:v>
                </c:pt>
                <c:pt idx="151">
                  <c:v>0.11700000000000001</c:v>
                </c:pt>
                <c:pt idx="152">
                  <c:v>0.29299999999999998</c:v>
                </c:pt>
                <c:pt idx="153">
                  <c:v>0.39</c:v>
                </c:pt>
                <c:pt idx="154">
                  <c:v>0.39700000000000002</c:v>
                </c:pt>
                <c:pt idx="155">
                  <c:v>0.32300000000000001</c:v>
                </c:pt>
                <c:pt idx="156">
                  <c:v>0.19800000000000001</c:v>
                </c:pt>
                <c:pt idx="157">
                  <c:v>6.2E-2</c:v>
                </c:pt>
                <c:pt idx="158">
                  <c:v>4.3999999999999997E-2</c:v>
                </c:pt>
                <c:pt idx="159">
                  <c:v>0.09</c:v>
                </c:pt>
                <c:pt idx="160">
                  <c:v>6.6000000000000003E-2</c:v>
                </c:pt>
                <c:pt idx="161">
                  <c:v>1.7999999999999999E-2</c:v>
                </c:pt>
                <c:pt idx="162">
                  <c:v>0.13300000000000001</c:v>
                </c:pt>
                <c:pt idx="163">
                  <c:v>0.24099999999999999</c:v>
                </c:pt>
                <c:pt idx="164">
                  <c:v>0.30299999999999999</c:v>
                </c:pt>
                <c:pt idx="165">
                  <c:v>0.29099999999999998</c:v>
                </c:pt>
                <c:pt idx="166">
                  <c:v>0.19700000000000001</c:v>
                </c:pt>
                <c:pt idx="167">
                  <c:v>3.3000000000000002E-2</c:v>
                </c:pt>
                <c:pt idx="168">
                  <c:v>0.16800000000000001</c:v>
                </c:pt>
                <c:pt idx="169">
                  <c:v>0.36299999999999999</c:v>
                </c:pt>
                <c:pt idx="170">
                  <c:v>0.50900000000000001</c:v>
                </c:pt>
                <c:pt idx="171">
                  <c:v>0.57199999999999995</c:v>
                </c:pt>
                <c:pt idx="172">
                  <c:v>0.53600000000000003</c:v>
                </c:pt>
                <c:pt idx="173">
                  <c:v>0.41</c:v>
                </c:pt>
                <c:pt idx="174">
                  <c:v>0.221</c:v>
                </c:pt>
                <c:pt idx="175">
                  <c:v>8.9999999999999993E-3</c:v>
                </c:pt>
                <c:pt idx="176">
                  <c:v>0.18099999999999999</c:v>
                </c:pt>
                <c:pt idx="177">
                  <c:v>0.313</c:v>
                </c:pt>
                <c:pt idx="178">
                  <c:v>0.36599999999999999</c:v>
                </c:pt>
                <c:pt idx="179">
                  <c:v>0.34100000000000003</c:v>
                </c:pt>
                <c:pt idx="180">
                  <c:v>0.25600000000000001</c:v>
                </c:pt>
                <c:pt idx="181">
                  <c:v>0.14399999999999999</c:v>
                </c:pt>
                <c:pt idx="182">
                  <c:v>4.2999999999999997E-2</c:v>
                </c:pt>
                <c:pt idx="183">
                  <c:v>1.7999999999999999E-2</c:v>
                </c:pt>
                <c:pt idx="184">
                  <c:v>2.1000000000000001E-2</c:v>
                </c:pt>
                <c:pt idx="185">
                  <c:v>3.3000000000000002E-2</c:v>
                </c:pt>
                <c:pt idx="186">
                  <c:v>0.123</c:v>
                </c:pt>
                <c:pt idx="187">
                  <c:v>0.218</c:v>
                </c:pt>
                <c:pt idx="188">
                  <c:v>0.28299999999999997</c:v>
                </c:pt>
                <c:pt idx="189">
                  <c:v>0.28899999999999998</c:v>
                </c:pt>
                <c:pt idx="190">
                  <c:v>0.223</c:v>
                </c:pt>
                <c:pt idx="191">
                  <c:v>8.7999999999999995E-2</c:v>
                </c:pt>
                <c:pt idx="192">
                  <c:v>9.4E-2</c:v>
                </c:pt>
                <c:pt idx="193">
                  <c:v>0.28499999999999998</c:v>
                </c:pt>
                <c:pt idx="194">
                  <c:v>0.44600000000000001</c:v>
                </c:pt>
                <c:pt idx="195">
                  <c:v>0.54200000000000004</c:v>
                </c:pt>
                <c:pt idx="196">
                  <c:v>0.55200000000000005</c:v>
                </c:pt>
                <c:pt idx="197">
                  <c:v>0.47399999999999998</c:v>
                </c:pt>
                <c:pt idx="198">
                  <c:v>0.32600000000000001</c:v>
                </c:pt>
                <c:pt idx="199">
                  <c:v>0.13800000000000001</c:v>
                </c:pt>
                <c:pt idx="200">
                  <c:v>5.0999999999999997E-2</c:v>
                </c:pt>
                <c:pt idx="201">
                  <c:v>0.20399999999999999</c:v>
                </c:pt>
                <c:pt idx="202">
                  <c:v>0.29499999999999998</c:v>
                </c:pt>
                <c:pt idx="203">
                  <c:v>0.318</c:v>
                </c:pt>
                <c:pt idx="204">
                  <c:v>0.27900000000000003</c:v>
                </c:pt>
                <c:pt idx="205">
                  <c:v>0.20300000000000001</c:v>
                </c:pt>
                <c:pt idx="206">
                  <c:v>0.12</c:v>
                </c:pt>
                <c:pt idx="207">
                  <c:v>5.8000000000000003E-2</c:v>
                </c:pt>
                <c:pt idx="208">
                  <c:v>3.6999999999999998E-2</c:v>
                </c:pt>
                <c:pt idx="209">
                  <c:v>6.4000000000000001E-2</c:v>
                </c:pt>
                <c:pt idx="210">
                  <c:v>0.127</c:v>
                </c:pt>
                <c:pt idx="211">
                  <c:v>0.20399999999999999</c:v>
                </c:pt>
                <c:pt idx="212">
                  <c:v>0.26500000000000001</c:v>
                </c:pt>
                <c:pt idx="213">
                  <c:v>0.28399999999999997</c:v>
                </c:pt>
                <c:pt idx="214">
                  <c:v>0.24199999999999999</c:v>
                </c:pt>
                <c:pt idx="215">
                  <c:v>0.13700000000000001</c:v>
                </c:pt>
                <c:pt idx="216">
                  <c:v>1.7000000000000001E-2</c:v>
                </c:pt>
                <c:pt idx="217">
                  <c:v>0.193</c:v>
                </c:pt>
                <c:pt idx="218">
                  <c:v>0.35899999999999999</c:v>
                </c:pt>
                <c:pt idx="219">
                  <c:v>0.48</c:v>
                </c:pt>
                <c:pt idx="220">
                  <c:v>0.53200000000000003</c:v>
                </c:pt>
                <c:pt idx="221">
                  <c:v>0.50600000000000001</c:v>
                </c:pt>
                <c:pt idx="222">
                  <c:v>0.40699999999999997</c:v>
                </c:pt>
                <c:pt idx="223">
                  <c:v>0.25700000000000001</c:v>
                </c:pt>
                <c:pt idx="224">
                  <c:v>8.6999999999999994E-2</c:v>
                </c:pt>
                <c:pt idx="225">
                  <c:v>7.0000000000000007E-2</c:v>
                </c:pt>
                <c:pt idx="226">
                  <c:v>0.189</c:v>
                </c:pt>
                <c:pt idx="227">
                  <c:v>0.254</c:v>
                </c:pt>
                <c:pt idx="228">
                  <c:v>0.26400000000000001</c:v>
                </c:pt>
                <c:pt idx="229">
                  <c:v>0.23100000000000001</c:v>
                </c:pt>
                <c:pt idx="230">
                  <c:v>0.17699999999999999</c:v>
                </c:pt>
                <c:pt idx="231">
                  <c:v>0.126</c:v>
                </c:pt>
                <c:pt idx="232">
                  <c:v>9.8000000000000004E-2</c:v>
                </c:pt>
                <c:pt idx="233">
                  <c:v>0.10299999999999999</c:v>
                </c:pt>
                <c:pt idx="234">
                  <c:v>0.13900000000000001</c:v>
                </c:pt>
                <c:pt idx="235">
                  <c:v>0.193</c:v>
                </c:pt>
                <c:pt idx="236">
                  <c:v>0.24299999999999999</c:v>
                </c:pt>
                <c:pt idx="237">
                  <c:v>0.26800000000000002</c:v>
                </c:pt>
                <c:pt idx="238">
                  <c:v>0.249</c:v>
                </c:pt>
                <c:pt idx="239">
                  <c:v>0.17799999999999999</c:v>
                </c:pt>
                <c:pt idx="240">
                  <c:v>0.06</c:v>
                </c:pt>
                <c:pt idx="241">
                  <c:v>0.09</c:v>
                </c:pt>
                <c:pt idx="242">
                  <c:v>0.245</c:v>
                </c:pt>
                <c:pt idx="243">
                  <c:v>0.378</c:v>
                </c:pt>
                <c:pt idx="244">
                  <c:v>0.46500000000000002</c:v>
                </c:pt>
                <c:pt idx="245">
                  <c:v>0.48899999999999999</c:v>
                </c:pt>
                <c:pt idx="246">
                  <c:v>0.44800000000000001</c:v>
                </c:pt>
                <c:pt idx="247">
                  <c:v>0.35199999999999998</c:v>
                </c:pt>
                <c:pt idx="248">
                  <c:v>0.219</c:v>
                </c:pt>
                <c:pt idx="249">
                  <c:v>7.4999999999999997E-2</c:v>
                </c:pt>
                <c:pt idx="250">
                  <c:v>5.5E-2</c:v>
                </c:pt>
                <c:pt idx="251">
                  <c:v>0.153</c:v>
                </c:pt>
                <c:pt idx="252">
                  <c:v>0.20899999999999999</c:v>
                </c:pt>
                <c:pt idx="253">
                  <c:v>0.224</c:v>
                </c:pt>
                <c:pt idx="254">
                  <c:v>0.20899999999999999</c:v>
                </c:pt>
                <c:pt idx="255">
                  <c:v>0.18</c:v>
                </c:pt>
                <c:pt idx="256">
                  <c:v>0.153</c:v>
                </c:pt>
                <c:pt idx="257">
                  <c:v>0.14099999999999999</c:v>
                </c:pt>
                <c:pt idx="258">
                  <c:v>0.15</c:v>
                </c:pt>
                <c:pt idx="259">
                  <c:v>0.17499999999999999</c:v>
                </c:pt>
                <c:pt idx="260">
                  <c:v>0.20699999999999999</c:v>
                </c:pt>
                <c:pt idx="261">
                  <c:v>0.23</c:v>
                </c:pt>
                <c:pt idx="262">
                  <c:v>0.22900000000000001</c:v>
                </c:pt>
                <c:pt idx="263">
                  <c:v>0.19400000000000001</c:v>
                </c:pt>
                <c:pt idx="264">
                  <c:v>0.12</c:v>
                </c:pt>
                <c:pt idx="265">
                  <c:v>1.4E-2</c:v>
                </c:pt>
                <c:pt idx="266">
                  <c:v>0.111</c:v>
                </c:pt>
                <c:pt idx="267">
                  <c:v>0.23599999999999999</c:v>
                </c:pt>
                <c:pt idx="268">
                  <c:v>0.34100000000000003</c:v>
                </c:pt>
                <c:pt idx="269">
                  <c:v>0.40799999999999997</c:v>
                </c:pt>
                <c:pt idx="270">
                  <c:v>0.42599999999999999</c:v>
                </c:pt>
                <c:pt idx="271">
                  <c:v>0.39400000000000002</c:v>
                </c:pt>
                <c:pt idx="272">
                  <c:v>0.317</c:v>
                </c:pt>
                <c:pt idx="273">
                  <c:v>0.21</c:v>
                </c:pt>
                <c:pt idx="274">
                  <c:v>9.0999999999999998E-2</c:v>
                </c:pt>
                <c:pt idx="275">
                  <c:v>2.3E-2</c:v>
                </c:pt>
                <c:pt idx="276">
                  <c:v>0.11600000000000001</c:v>
                </c:pt>
                <c:pt idx="277">
                  <c:v>0.17899999999999999</c:v>
                </c:pt>
                <c:pt idx="278">
                  <c:v>0.21099999999999999</c:v>
                </c:pt>
                <c:pt idx="279">
                  <c:v>0.214</c:v>
                </c:pt>
                <c:pt idx="280">
                  <c:v>0.2</c:v>
                </c:pt>
                <c:pt idx="281">
                  <c:v>0.17799999999999999</c:v>
                </c:pt>
                <c:pt idx="282">
                  <c:v>0.159</c:v>
                </c:pt>
                <c:pt idx="283">
                  <c:v>0.14899999999999999</c:v>
                </c:pt>
                <c:pt idx="284">
                  <c:v>0.15</c:v>
                </c:pt>
                <c:pt idx="285">
                  <c:v>0.157</c:v>
                </c:pt>
                <c:pt idx="286">
                  <c:v>0.16300000000000001</c:v>
                </c:pt>
                <c:pt idx="287">
                  <c:v>0.158</c:v>
                </c:pt>
                <c:pt idx="288">
                  <c:v>0.13500000000000001</c:v>
                </c:pt>
                <c:pt idx="289">
                  <c:v>8.7999999999999995E-2</c:v>
                </c:pt>
                <c:pt idx="290">
                  <c:v>1.7999999999999999E-2</c:v>
                </c:pt>
                <c:pt idx="291">
                  <c:v>7.0999999999999994E-2</c:v>
                </c:pt>
                <c:pt idx="292">
                  <c:v>0.16600000000000001</c:v>
                </c:pt>
                <c:pt idx="293">
                  <c:v>0.255</c:v>
                </c:pt>
                <c:pt idx="294">
                  <c:v>0.32200000000000001</c:v>
                </c:pt>
                <c:pt idx="295">
                  <c:v>0.35699999999999998</c:v>
                </c:pt>
                <c:pt idx="296">
                  <c:v>0.35</c:v>
                </c:pt>
                <c:pt idx="297">
                  <c:v>0.30299999999999999</c:v>
                </c:pt>
                <c:pt idx="298">
                  <c:v>0.221</c:v>
                </c:pt>
                <c:pt idx="299">
                  <c:v>0.115</c:v>
                </c:pt>
                <c:pt idx="300">
                  <c:v>3.0000000000000001E-3</c:v>
                </c:pt>
                <c:pt idx="301">
                  <c:v>0.1</c:v>
                </c:pt>
                <c:pt idx="302">
                  <c:v>0.18</c:v>
                </c:pt>
                <c:pt idx="303">
                  <c:v>0.22600000000000001</c:v>
                </c:pt>
                <c:pt idx="304">
                  <c:v>0.23699999999999999</c:v>
                </c:pt>
                <c:pt idx="305">
                  <c:v>0.217</c:v>
                </c:pt>
                <c:pt idx="306">
                  <c:v>0.17499999999999999</c:v>
                </c:pt>
                <c:pt idx="307">
                  <c:v>0.126</c:v>
                </c:pt>
                <c:pt idx="308">
                  <c:v>8.2000000000000003E-2</c:v>
                </c:pt>
                <c:pt idx="309">
                  <c:v>5.2999999999999999E-2</c:v>
                </c:pt>
                <c:pt idx="310">
                  <c:v>4.4999999999999998E-2</c:v>
                </c:pt>
                <c:pt idx="311">
                  <c:v>5.5E-2</c:v>
                </c:pt>
                <c:pt idx="312">
                  <c:v>7.4999999999999997E-2</c:v>
                </c:pt>
                <c:pt idx="313">
                  <c:v>9.2999999999999999E-2</c:v>
                </c:pt>
                <c:pt idx="314">
                  <c:v>9.7000000000000003E-2</c:v>
                </c:pt>
                <c:pt idx="315">
                  <c:v>7.5999999999999998E-2</c:v>
                </c:pt>
                <c:pt idx="316">
                  <c:v>2.7E-2</c:v>
                </c:pt>
                <c:pt idx="317">
                  <c:v>4.8000000000000001E-2</c:v>
                </c:pt>
                <c:pt idx="318">
                  <c:v>0.13800000000000001</c:v>
                </c:pt>
                <c:pt idx="319">
                  <c:v>0.22500000000000001</c:v>
                </c:pt>
                <c:pt idx="320">
                  <c:v>0.28999999999999998</c:v>
                </c:pt>
                <c:pt idx="321">
                  <c:v>0.31900000000000001</c:v>
                </c:pt>
                <c:pt idx="322">
                  <c:v>0.3</c:v>
                </c:pt>
                <c:pt idx="323">
                  <c:v>0.23300000000000001</c:v>
                </c:pt>
                <c:pt idx="324">
                  <c:v>0.128</c:v>
                </c:pt>
                <c:pt idx="325">
                  <c:v>3.0000000000000001E-3</c:v>
                </c:pt>
                <c:pt idx="326">
                  <c:v>0.11799999999999999</c:v>
                </c:pt>
                <c:pt idx="327">
                  <c:v>0.21199999999999999</c:v>
                </c:pt>
                <c:pt idx="328">
                  <c:v>0.26200000000000001</c:v>
                </c:pt>
                <c:pt idx="329">
                  <c:v>0.26</c:v>
                </c:pt>
                <c:pt idx="330">
                  <c:v>0.20899999999999999</c:v>
                </c:pt>
                <c:pt idx="331">
                  <c:v>0.124</c:v>
                </c:pt>
                <c:pt idx="332">
                  <c:v>2.8000000000000001E-2</c:v>
                </c:pt>
                <c:pt idx="333">
                  <c:v>5.6000000000000001E-2</c:v>
                </c:pt>
                <c:pt idx="334">
                  <c:v>0.106</c:v>
                </c:pt>
                <c:pt idx="335">
                  <c:v>0.111</c:v>
                </c:pt>
                <c:pt idx="336">
                  <c:v>7.1999999999999995E-2</c:v>
                </c:pt>
                <c:pt idx="337">
                  <c:v>0</c:v>
                </c:pt>
                <c:pt idx="338">
                  <c:v>8.2000000000000003E-2</c:v>
                </c:pt>
                <c:pt idx="339">
                  <c:v>0.15</c:v>
                </c:pt>
                <c:pt idx="340">
                  <c:v>0.182</c:v>
                </c:pt>
                <c:pt idx="341">
                  <c:v>0.16300000000000001</c:v>
                </c:pt>
                <c:pt idx="342">
                  <c:v>9.4E-2</c:v>
                </c:pt>
                <c:pt idx="343">
                  <c:v>1.2999999999999999E-2</c:v>
                </c:pt>
                <c:pt idx="344">
                  <c:v>0.13200000000000001</c:v>
                </c:pt>
                <c:pt idx="345">
                  <c:v>0.23499999999999999</c:v>
                </c:pt>
                <c:pt idx="346">
                  <c:v>0.29499999999999998</c:v>
                </c:pt>
                <c:pt idx="347">
                  <c:v>0.29399999999999998</c:v>
                </c:pt>
                <c:pt idx="348">
                  <c:v>0.22900000000000001</c:v>
                </c:pt>
                <c:pt idx="349">
                  <c:v>0.111</c:v>
                </c:pt>
                <c:pt idx="350">
                  <c:v>3.3000000000000002E-2</c:v>
                </c:pt>
                <c:pt idx="351">
                  <c:v>0.17100000000000001</c:v>
                </c:pt>
                <c:pt idx="352">
                  <c:v>0.26900000000000002</c:v>
                </c:pt>
                <c:pt idx="353">
                  <c:v>0.30299999999999999</c:v>
                </c:pt>
                <c:pt idx="354">
                  <c:v>0.26400000000000001</c:v>
                </c:pt>
                <c:pt idx="355">
                  <c:v>0.161</c:v>
                </c:pt>
                <c:pt idx="356">
                  <c:v>1.7000000000000001E-2</c:v>
                </c:pt>
                <c:pt idx="357">
                  <c:v>0.13100000000000001</c:v>
                </c:pt>
                <c:pt idx="358">
                  <c:v>0.247</c:v>
                </c:pt>
                <c:pt idx="359">
                  <c:v>0.30199999999999999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A3-410E-AD91-4A0FF3799814}"/>
            </c:ext>
          </c:extLst>
        </c:ser>
        <c:ser>
          <c:idx val="1"/>
          <c:order val="1"/>
          <c:tx>
            <c:strRef>
              <c:f>Calculation!$O$2</c:f>
              <c:strCache>
                <c:ptCount val="1"/>
                <c:pt idx="0">
                  <c:v>Calculation
(calc)</c:v>
                </c:pt>
              </c:strCache>
            </c:strRef>
          </c:tx>
          <c:spPr>
            <a:ln w="12700">
              <a:prstDash val="solid"/>
            </a:ln>
          </c:spPr>
          <c:marker>
            <c:symbol val="circle"/>
            <c:size val="3"/>
            <c:spPr>
              <a:ln>
                <a:prstDash val="solid"/>
              </a:ln>
            </c:spPr>
          </c:marker>
          <c:xVal>
            <c:numRef>
              <c:f>[0]!_chartDate</c:f>
              <c:numCache>
                <c:formatCode>d\-mmm\-yy\ hh:mm</c:formatCode>
                <c:ptCount val="360"/>
                <c:pt idx="0">
                  <c:v>43831</c:v>
                </c:pt>
                <c:pt idx="1">
                  <c:v>43831.041666666664</c:v>
                </c:pt>
                <c:pt idx="2">
                  <c:v>43831.083333333336</c:v>
                </c:pt>
                <c:pt idx="3">
                  <c:v>43831.125</c:v>
                </c:pt>
                <c:pt idx="4">
                  <c:v>43831.166666666664</c:v>
                </c:pt>
                <c:pt idx="5">
                  <c:v>43831.208333333336</c:v>
                </c:pt>
                <c:pt idx="6">
                  <c:v>43831.25</c:v>
                </c:pt>
                <c:pt idx="7">
                  <c:v>43831.291666666664</c:v>
                </c:pt>
                <c:pt idx="8">
                  <c:v>43831.333333333336</c:v>
                </c:pt>
                <c:pt idx="9">
                  <c:v>43831.375</c:v>
                </c:pt>
                <c:pt idx="10">
                  <c:v>43831.416666666664</c:v>
                </c:pt>
                <c:pt idx="11">
                  <c:v>43831.458333333336</c:v>
                </c:pt>
                <c:pt idx="12">
                  <c:v>43831.5</c:v>
                </c:pt>
                <c:pt idx="13">
                  <c:v>43831.541666666664</c:v>
                </c:pt>
                <c:pt idx="14">
                  <c:v>43831.583333333336</c:v>
                </c:pt>
                <c:pt idx="15">
                  <c:v>43831.625</c:v>
                </c:pt>
                <c:pt idx="16">
                  <c:v>43831.666666666664</c:v>
                </c:pt>
                <c:pt idx="17">
                  <c:v>43831.708333333336</c:v>
                </c:pt>
                <c:pt idx="18">
                  <c:v>43831.75</c:v>
                </c:pt>
                <c:pt idx="19">
                  <c:v>43831.791666666664</c:v>
                </c:pt>
                <c:pt idx="20">
                  <c:v>43831.833333333336</c:v>
                </c:pt>
                <c:pt idx="21">
                  <c:v>43831.875</c:v>
                </c:pt>
                <c:pt idx="22">
                  <c:v>43831.916666666664</c:v>
                </c:pt>
                <c:pt idx="23">
                  <c:v>43831.958333333336</c:v>
                </c:pt>
                <c:pt idx="24">
                  <c:v>43832</c:v>
                </c:pt>
                <c:pt idx="25">
                  <c:v>43832.041666666664</c:v>
                </c:pt>
                <c:pt idx="26">
                  <c:v>43832.083333333336</c:v>
                </c:pt>
                <c:pt idx="27">
                  <c:v>43832.125</c:v>
                </c:pt>
                <c:pt idx="28">
                  <c:v>43832.166666666664</c:v>
                </c:pt>
                <c:pt idx="29">
                  <c:v>43832.208333333336</c:v>
                </c:pt>
                <c:pt idx="30">
                  <c:v>43832.25</c:v>
                </c:pt>
                <c:pt idx="31">
                  <c:v>43832.291666666664</c:v>
                </c:pt>
                <c:pt idx="32">
                  <c:v>43832.333333333336</c:v>
                </c:pt>
                <c:pt idx="33">
                  <c:v>43832.375</c:v>
                </c:pt>
                <c:pt idx="34">
                  <c:v>43832.416666666664</c:v>
                </c:pt>
                <c:pt idx="35">
                  <c:v>43832.458333333336</c:v>
                </c:pt>
                <c:pt idx="36">
                  <c:v>43832.5</c:v>
                </c:pt>
                <c:pt idx="37">
                  <c:v>43832.541666666664</c:v>
                </c:pt>
                <c:pt idx="38">
                  <c:v>43832.583333333336</c:v>
                </c:pt>
                <c:pt idx="39">
                  <c:v>43832.625</c:v>
                </c:pt>
                <c:pt idx="40">
                  <c:v>43832.666666666664</c:v>
                </c:pt>
                <c:pt idx="41">
                  <c:v>43832.708333333336</c:v>
                </c:pt>
                <c:pt idx="42">
                  <c:v>43832.75</c:v>
                </c:pt>
                <c:pt idx="43">
                  <c:v>43832.791666666664</c:v>
                </c:pt>
                <c:pt idx="44">
                  <c:v>43832.833333333336</c:v>
                </c:pt>
                <c:pt idx="45">
                  <c:v>43832.875</c:v>
                </c:pt>
                <c:pt idx="46">
                  <c:v>43832.916666666664</c:v>
                </c:pt>
                <c:pt idx="47">
                  <c:v>43832.958333333336</c:v>
                </c:pt>
                <c:pt idx="48">
                  <c:v>43833</c:v>
                </c:pt>
                <c:pt idx="49">
                  <c:v>43833.041666666664</c:v>
                </c:pt>
                <c:pt idx="50">
                  <c:v>43833.083333333336</c:v>
                </c:pt>
                <c:pt idx="51">
                  <c:v>43833.125</c:v>
                </c:pt>
                <c:pt idx="52">
                  <c:v>43833.166666666664</c:v>
                </c:pt>
                <c:pt idx="53">
                  <c:v>43833.208333333336</c:v>
                </c:pt>
                <c:pt idx="54">
                  <c:v>43833.25</c:v>
                </c:pt>
                <c:pt idx="55">
                  <c:v>43833.291666666664</c:v>
                </c:pt>
                <c:pt idx="56">
                  <c:v>43833.333333333336</c:v>
                </c:pt>
                <c:pt idx="57">
                  <c:v>43833.375</c:v>
                </c:pt>
                <c:pt idx="58">
                  <c:v>43833.416666666664</c:v>
                </c:pt>
                <c:pt idx="59">
                  <c:v>43833.458333333336</c:v>
                </c:pt>
                <c:pt idx="60">
                  <c:v>43833.5</c:v>
                </c:pt>
                <c:pt idx="61">
                  <c:v>43833.541666666664</c:v>
                </c:pt>
                <c:pt idx="62">
                  <c:v>43833.583333333336</c:v>
                </c:pt>
                <c:pt idx="63">
                  <c:v>43833.625</c:v>
                </c:pt>
                <c:pt idx="64">
                  <c:v>43833.666666666664</c:v>
                </c:pt>
                <c:pt idx="65">
                  <c:v>43833.708333333336</c:v>
                </c:pt>
                <c:pt idx="66">
                  <c:v>43833.75</c:v>
                </c:pt>
                <c:pt idx="67">
                  <c:v>43833.791666666664</c:v>
                </c:pt>
                <c:pt idx="68">
                  <c:v>43833.833333333336</c:v>
                </c:pt>
                <c:pt idx="69">
                  <c:v>43833.875</c:v>
                </c:pt>
                <c:pt idx="70">
                  <c:v>43833.916666666664</c:v>
                </c:pt>
                <c:pt idx="71">
                  <c:v>43833.958333333336</c:v>
                </c:pt>
                <c:pt idx="72">
                  <c:v>43834</c:v>
                </c:pt>
                <c:pt idx="73">
                  <c:v>43834.041666666664</c:v>
                </c:pt>
                <c:pt idx="74">
                  <c:v>43834.083333333336</c:v>
                </c:pt>
                <c:pt idx="75">
                  <c:v>43834.125</c:v>
                </c:pt>
                <c:pt idx="76">
                  <c:v>43834.166666666664</c:v>
                </c:pt>
                <c:pt idx="77">
                  <c:v>43834.208333333336</c:v>
                </c:pt>
                <c:pt idx="78">
                  <c:v>43834.25</c:v>
                </c:pt>
                <c:pt idx="79">
                  <c:v>43834.291666666664</c:v>
                </c:pt>
                <c:pt idx="80">
                  <c:v>43834.333333333336</c:v>
                </c:pt>
                <c:pt idx="81">
                  <c:v>43834.375</c:v>
                </c:pt>
                <c:pt idx="82">
                  <c:v>43834.416666666664</c:v>
                </c:pt>
                <c:pt idx="83">
                  <c:v>43834.458333333336</c:v>
                </c:pt>
                <c:pt idx="84">
                  <c:v>43834.5</c:v>
                </c:pt>
                <c:pt idx="85">
                  <c:v>43834.541666666664</c:v>
                </c:pt>
                <c:pt idx="86">
                  <c:v>43834.583333333336</c:v>
                </c:pt>
                <c:pt idx="87">
                  <c:v>43834.625</c:v>
                </c:pt>
                <c:pt idx="88">
                  <c:v>43834.666666666664</c:v>
                </c:pt>
                <c:pt idx="89">
                  <c:v>43834.708333333336</c:v>
                </c:pt>
                <c:pt idx="90">
                  <c:v>43834.75</c:v>
                </c:pt>
                <c:pt idx="91">
                  <c:v>43834.791666666664</c:v>
                </c:pt>
                <c:pt idx="92">
                  <c:v>43834.833333333336</c:v>
                </c:pt>
                <c:pt idx="93">
                  <c:v>43834.875</c:v>
                </c:pt>
                <c:pt idx="94">
                  <c:v>43834.916666666664</c:v>
                </c:pt>
                <c:pt idx="95">
                  <c:v>43834.958333333336</c:v>
                </c:pt>
                <c:pt idx="96">
                  <c:v>43835</c:v>
                </c:pt>
                <c:pt idx="97">
                  <c:v>43835.041666666664</c:v>
                </c:pt>
                <c:pt idx="98">
                  <c:v>43835.083333333336</c:v>
                </c:pt>
                <c:pt idx="99">
                  <c:v>43835.125</c:v>
                </c:pt>
                <c:pt idx="100">
                  <c:v>43835.166666666664</c:v>
                </c:pt>
                <c:pt idx="101">
                  <c:v>43835.208333333336</c:v>
                </c:pt>
                <c:pt idx="102">
                  <c:v>43835.25</c:v>
                </c:pt>
                <c:pt idx="103">
                  <c:v>43835.291666666664</c:v>
                </c:pt>
                <c:pt idx="104">
                  <c:v>43835.333333333336</c:v>
                </c:pt>
                <c:pt idx="105">
                  <c:v>43835.375</c:v>
                </c:pt>
                <c:pt idx="106">
                  <c:v>43835.416666666664</c:v>
                </c:pt>
                <c:pt idx="107">
                  <c:v>43835.458333333336</c:v>
                </c:pt>
                <c:pt idx="108">
                  <c:v>43835.5</c:v>
                </c:pt>
                <c:pt idx="109">
                  <c:v>43835.541666666664</c:v>
                </c:pt>
                <c:pt idx="110">
                  <c:v>43835.583333333336</c:v>
                </c:pt>
                <c:pt idx="111">
                  <c:v>43835.625</c:v>
                </c:pt>
                <c:pt idx="112">
                  <c:v>43835.666666666664</c:v>
                </c:pt>
                <c:pt idx="113">
                  <c:v>43835.708333333336</c:v>
                </c:pt>
                <c:pt idx="114">
                  <c:v>43835.75</c:v>
                </c:pt>
                <c:pt idx="115">
                  <c:v>43835.791666666664</c:v>
                </c:pt>
                <c:pt idx="116">
                  <c:v>43835.833333333336</c:v>
                </c:pt>
                <c:pt idx="117">
                  <c:v>43835.875</c:v>
                </c:pt>
                <c:pt idx="118">
                  <c:v>43835.916666666664</c:v>
                </c:pt>
                <c:pt idx="119">
                  <c:v>43835.958333333336</c:v>
                </c:pt>
                <c:pt idx="120">
                  <c:v>43836</c:v>
                </c:pt>
                <c:pt idx="121">
                  <c:v>43836.041666666664</c:v>
                </c:pt>
                <c:pt idx="122">
                  <c:v>43836.083333333336</c:v>
                </c:pt>
                <c:pt idx="123">
                  <c:v>43836.125</c:v>
                </c:pt>
                <c:pt idx="124">
                  <c:v>43836.166666666664</c:v>
                </c:pt>
                <c:pt idx="125">
                  <c:v>43836.208333333336</c:v>
                </c:pt>
                <c:pt idx="126">
                  <c:v>43836.25</c:v>
                </c:pt>
                <c:pt idx="127">
                  <c:v>43836.291666666664</c:v>
                </c:pt>
                <c:pt idx="128">
                  <c:v>43836.333333333336</c:v>
                </c:pt>
                <c:pt idx="129">
                  <c:v>43836.375</c:v>
                </c:pt>
                <c:pt idx="130">
                  <c:v>43836.416666666664</c:v>
                </c:pt>
                <c:pt idx="131">
                  <c:v>43836.458333333336</c:v>
                </c:pt>
                <c:pt idx="132">
                  <c:v>43836.5</c:v>
                </c:pt>
                <c:pt idx="133">
                  <c:v>43836.541666666664</c:v>
                </c:pt>
                <c:pt idx="134">
                  <c:v>43836.583333333336</c:v>
                </c:pt>
                <c:pt idx="135">
                  <c:v>43836.625</c:v>
                </c:pt>
                <c:pt idx="136">
                  <c:v>43836.666666666664</c:v>
                </c:pt>
                <c:pt idx="137">
                  <c:v>43836.708333333336</c:v>
                </c:pt>
                <c:pt idx="138">
                  <c:v>43836.75</c:v>
                </c:pt>
                <c:pt idx="139">
                  <c:v>43836.791666666664</c:v>
                </c:pt>
                <c:pt idx="140">
                  <c:v>43836.833333333336</c:v>
                </c:pt>
                <c:pt idx="141">
                  <c:v>43836.875</c:v>
                </c:pt>
                <c:pt idx="142">
                  <c:v>43836.916666666664</c:v>
                </c:pt>
                <c:pt idx="143">
                  <c:v>43836.958333333336</c:v>
                </c:pt>
                <c:pt idx="144">
                  <c:v>43837</c:v>
                </c:pt>
                <c:pt idx="145">
                  <c:v>43837.041666666664</c:v>
                </c:pt>
                <c:pt idx="146">
                  <c:v>43837.083333333336</c:v>
                </c:pt>
                <c:pt idx="147">
                  <c:v>43837.125</c:v>
                </c:pt>
                <c:pt idx="148">
                  <c:v>43837.166666666664</c:v>
                </c:pt>
                <c:pt idx="149">
                  <c:v>43837.208333333336</c:v>
                </c:pt>
                <c:pt idx="150">
                  <c:v>43837.25</c:v>
                </c:pt>
                <c:pt idx="151">
                  <c:v>43837.291666666664</c:v>
                </c:pt>
                <c:pt idx="152">
                  <c:v>43837.333333333336</c:v>
                </c:pt>
                <c:pt idx="153">
                  <c:v>43837.375</c:v>
                </c:pt>
                <c:pt idx="154">
                  <c:v>43837.416666666664</c:v>
                </c:pt>
                <c:pt idx="155">
                  <c:v>43837.458333333336</c:v>
                </c:pt>
                <c:pt idx="156">
                  <c:v>43837.5</c:v>
                </c:pt>
                <c:pt idx="157">
                  <c:v>43837.541666666664</c:v>
                </c:pt>
                <c:pt idx="158">
                  <c:v>43837.583333333336</c:v>
                </c:pt>
                <c:pt idx="159">
                  <c:v>43837.625</c:v>
                </c:pt>
                <c:pt idx="160">
                  <c:v>43837.666666666664</c:v>
                </c:pt>
                <c:pt idx="161">
                  <c:v>43837.708333333336</c:v>
                </c:pt>
                <c:pt idx="162">
                  <c:v>43837.75</c:v>
                </c:pt>
                <c:pt idx="163">
                  <c:v>43837.791666666664</c:v>
                </c:pt>
                <c:pt idx="164">
                  <c:v>43837.833333333336</c:v>
                </c:pt>
                <c:pt idx="165">
                  <c:v>43837.875</c:v>
                </c:pt>
                <c:pt idx="166">
                  <c:v>43837.916666666664</c:v>
                </c:pt>
                <c:pt idx="167">
                  <c:v>43837.958333333336</c:v>
                </c:pt>
                <c:pt idx="168">
                  <c:v>43838</c:v>
                </c:pt>
                <c:pt idx="169">
                  <c:v>43838.041666666664</c:v>
                </c:pt>
                <c:pt idx="170">
                  <c:v>43838.083333333336</c:v>
                </c:pt>
                <c:pt idx="171">
                  <c:v>43838.125</c:v>
                </c:pt>
                <c:pt idx="172">
                  <c:v>43838.166666666664</c:v>
                </c:pt>
                <c:pt idx="173">
                  <c:v>43838.208333333336</c:v>
                </c:pt>
                <c:pt idx="174">
                  <c:v>43838.25</c:v>
                </c:pt>
                <c:pt idx="175">
                  <c:v>43838.291666666664</c:v>
                </c:pt>
                <c:pt idx="176">
                  <c:v>43838.333333333336</c:v>
                </c:pt>
                <c:pt idx="177">
                  <c:v>43838.375</c:v>
                </c:pt>
                <c:pt idx="178">
                  <c:v>43838.416666666664</c:v>
                </c:pt>
                <c:pt idx="179">
                  <c:v>43838.458333333336</c:v>
                </c:pt>
                <c:pt idx="180">
                  <c:v>43838.5</c:v>
                </c:pt>
                <c:pt idx="181">
                  <c:v>43838.541666666664</c:v>
                </c:pt>
                <c:pt idx="182">
                  <c:v>43838.583333333336</c:v>
                </c:pt>
                <c:pt idx="183">
                  <c:v>43838.625</c:v>
                </c:pt>
                <c:pt idx="184">
                  <c:v>43838.666666666664</c:v>
                </c:pt>
                <c:pt idx="185">
                  <c:v>43838.708333333336</c:v>
                </c:pt>
                <c:pt idx="186">
                  <c:v>43838.75</c:v>
                </c:pt>
                <c:pt idx="187">
                  <c:v>43838.791666666664</c:v>
                </c:pt>
                <c:pt idx="188">
                  <c:v>43838.833333333336</c:v>
                </c:pt>
                <c:pt idx="189">
                  <c:v>43838.875</c:v>
                </c:pt>
                <c:pt idx="190">
                  <c:v>43838.916666666664</c:v>
                </c:pt>
                <c:pt idx="191">
                  <c:v>43838.958333333336</c:v>
                </c:pt>
                <c:pt idx="192">
                  <c:v>43839</c:v>
                </c:pt>
                <c:pt idx="193">
                  <c:v>43839.041666666664</c:v>
                </c:pt>
                <c:pt idx="194">
                  <c:v>43839.083333333336</c:v>
                </c:pt>
                <c:pt idx="195">
                  <c:v>43839.125</c:v>
                </c:pt>
                <c:pt idx="196">
                  <c:v>43839.166666666664</c:v>
                </c:pt>
                <c:pt idx="197">
                  <c:v>43839.208333333336</c:v>
                </c:pt>
                <c:pt idx="198">
                  <c:v>43839.25</c:v>
                </c:pt>
                <c:pt idx="199">
                  <c:v>43839.291666666664</c:v>
                </c:pt>
                <c:pt idx="200">
                  <c:v>43839.333333333336</c:v>
                </c:pt>
                <c:pt idx="201">
                  <c:v>43839.375</c:v>
                </c:pt>
                <c:pt idx="202">
                  <c:v>43839.416666666664</c:v>
                </c:pt>
                <c:pt idx="203">
                  <c:v>43839.458333333336</c:v>
                </c:pt>
                <c:pt idx="204">
                  <c:v>43839.5</c:v>
                </c:pt>
                <c:pt idx="205">
                  <c:v>43839.541666666664</c:v>
                </c:pt>
                <c:pt idx="206">
                  <c:v>43839.583333333336</c:v>
                </c:pt>
                <c:pt idx="207">
                  <c:v>43839.625</c:v>
                </c:pt>
                <c:pt idx="208">
                  <c:v>43839.666666666664</c:v>
                </c:pt>
                <c:pt idx="209">
                  <c:v>43839.708333333336</c:v>
                </c:pt>
                <c:pt idx="210">
                  <c:v>43839.75</c:v>
                </c:pt>
                <c:pt idx="211">
                  <c:v>43839.791666666664</c:v>
                </c:pt>
                <c:pt idx="212">
                  <c:v>43839.833333333336</c:v>
                </c:pt>
                <c:pt idx="213">
                  <c:v>43839.875</c:v>
                </c:pt>
                <c:pt idx="214">
                  <c:v>43839.916666666664</c:v>
                </c:pt>
                <c:pt idx="215">
                  <c:v>43839.958333333336</c:v>
                </c:pt>
                <c:pt idx="216">
                  <c:v>43840</c:v>
                </c:pt>
                <c:pt idx="217">
                  <c:v>43840.041666666664</c:v>
                </c:pt>
                <c:pt idx="218">
                  <c:v>43840.083333333336</c:v>
                </c:pt>
                <c:pt idx="219">
                  <c:v>43840.125</c:v>
                </c:pt>
                <c:pt idx="220">
                  <c:v>43840.166666666664</c:v>
                </c:pt>
                <c:pt idx="221">
                  <c:v>43840.208333333336</c:v>
                </c:pt>
                <c:pt idx="222">
                  <c:v>43840.25</c:v>
                </c:pt>
                <c:pt idx="223">
                  <c:v>43840.291666666664</c:v>
                </c:pt>
                <c:pt idx="224">
                  <c:v>43840.333333333336</c:v>
                </c:pt>
                <c:pt idx="225">
                  <c:v>43840.375</c:v>
                </c:pt>
                <c:pt idx="226">
                  <c:v>43840.416666666664</c:v>
                </c:pt>
                <c:pt idx="227">
                  <c:v>43840.458333333336</c:v>
                </c:pt>
                <c:pt idx="228">
                  <c:v>43840.5</c:v>
                </c:pt>
                <c:pt idx="229">
                  <c:v>43840.541666666664</c:v>
                </c:pt>
                <c:pt idx="230">
                  <c:v>43840.583333333336</c:v>
                </c:pt>
                <c:pt idx="231">
                  <c:v>43840.625</c:v>
                </c:pt>
                <c:pt idx="232">
                  <c:v>43840.666666666664</c:v>
                </c:pt>
                <c:pt idx="233">
                  <c:v>43840.708333333336</c:v>
                </c:pt>
                <c:pt idx="234">
                  <c:v>43840.75</c:v>
                </c:pt>
                <c:pt idx="235">
                  <c:v>43840.791666666664</c:v>
                </c:pt>
                <c:pt idx="236">
                  <c:v>43840.833333333336</c:v>
                </c:pt>
                <c:pt idx="237">
                  <c:v>43840.875</c:v>
                </c:pt>
                <c:pt idx="238">
                  <c:v>43840.916666666664</c:v>
                </c:pt>
                <c:pt idx="239">
                  <c:v>43840.958333333336</c:v>
                </c:pt>
                <c:pt idx="240">
                  <c:v>43841</c:v>
                </c:pt>
                <c:pt idx="241">
                  <c:v>43841.041666666664</c:v>
                </c:pt>
                <c:pt idx="242">
                  <c:v>43841.083333333336</c:v>
                </c:pt>
                <c:pt idx="243">
                  <c:v>43841.125</c:v>
                </c:pt>
                <c:pt idx="244">
                  <c:v>43841.166666666664</c:v>
                </c:pt>
                <c:pt idx="245">
                  <c:v>43841.208333333336</c:v>
                </c:pt>
                <c:pt idx="246">
                  <c:v>43841.25</c:v>
                </c:pt>
                <c:pt idx="247">
                  <c:v>43841.291666666664</c:v>
                </c:pt>
                <c:pt idx="248">
                  <c:v>43841.333333333336</c:v>
                </c:pt>
                <c:pt idx="249">
                  <c:v>43841.375</c:v>
                </c:pt>
                <c:pt idx="250">
                  <c:v>43841.416666666664</c:v>
                </c:pt>
                <c:pt idx="251">
                  <c:v>43841.458333333336</c:v>
                </c:pt>
                <c:pt idx="252">
                  <c:v>43841.5</c:v>
                </c:pt>
                <c:pt idx="253">
                  <c:v>43841.541666666664</c:v>
                </c:pt>
                <c:pt idx="254">
                  <c:v>43841.583333333336</c:v>
                </c:pt>
                <c:pt idx="255">
                  <c:v>43841.625</c:v>
                </c:pt>
                <c:pt idx="256">
                  <c:v>43841.666666666664</c:v>
                </c:pt>
                <c:pt idx="257">
                  <c:v>43841.708333333336</c:v>
                </c:pt>
                <c:pt idx="258">
                  <c:v>43841.75</c:v>
                </c:pt>
                <c:pt idx="259">
                  <c:v>43841.791666666664</c:v>
                </c:pt>
                <c:pt idx="260">
                  <c:v>43841.833333333336</c:v>
                </c:pt>
                <c:pt idx="261">
                  <c:v>43841.875</c:v>
                </c:pt>
                <c:pt idx="262">
                  <c:v>43841.916666666664</c:v>
                </c:pt>
                <c:pt idx="263">
                  <c:v>43841.958333333336</c:v>
                </c:pt>
                <c:pt idx="264">
                  <c:v>43842</c:v>
                </c:pt>
                <c:pt idx="265">
                  <c:v>43842.041666666664</c:v>
                </c:pt>
                <c:pt idx="266">
                  <c:v>43842.083333333336</c:v>
                </c:pt>
                <c:pt idx="267">
                  <c:v>43842.125</c:v>
                </c:pt>
                <c:pt idx="268">
                  <c:v>43842.166666666664</c:v>
                </c:pt>
                <c:pt idx="269">
                  <c:v>43842.208333333336</c:v>
                </c:pt>
                <c:pt idx="270">
                  <c:v>43842.25</c:v>
                </c:pt>
                <c:pt idx="271">
                  <c:v>43842.291666666664</c:v>
                </c:pt>
                <c:pt idx="272">
                  <c:v>43842.333333333336</c:v>
                </c:pt>
                <c:pt idx="273">
                  <c:v>43842.375</c:v>
                </c:pt>
                <c:pt idx="274">
                  <c:v>43842.416666666664</c:v>
                </c:pt>
                <c:pt idx="275">
                  <c:v>43842.458333333336</c:v>
                </c:pt>
                <c:pt idx="276">
                  <c:v>43842.5</c:v>
                </c:pt>
                <c:pt idx="277">
                  <c:v>43842.541666666664</c:v>
                </c:pt>
                <c:pt idx="278">
                  <c:v>43842.583333333336</c:v>
                </c:pt>
                <c:pt idx="279">
                  <c:v>43842.625</c:v>
                </c:pt>
                <c:pt idx="280">
                  <c:v>43842.666666666664</c:v>
                </c:pt>
                <c:pt idx="281">
                  <c:v>43842.708333333336</c:v>
                </c:pt>
                <c:pt idx="282">
                  <c:v>43842.75</c:v>
                </c:pt>
                <c:pt idx="283">
                  <c:v>43842.791666666664</c:v>
                </c:pt>
                <c:pt idx="284">
                  <c:v>43842.833333333336</c:v>
                </c:pt>
                <c:pt idx="285">
                  <c:v>43842.875</c:v>
                </c:pt>
                <c:pt idx="286">
                  <c:v>43842.916666666664</c:v>
                </c:pt>
                <c:pt idx="287">
                  <c:v>43842.958333333336</c:v>
                </c:pt>
                <c:pt idx="288">
                  <c:v>43843</c:v>
                </c:pt>
                <c:pt idx="289">
                  <c:v>43843.041666666664</c:v>
                </c:pt>
                <c:pt idx="290">
                  <c:v>43843.083333333336</c:v>
                </c:pt>
                <c:pt idx="291">
                  <c:v>43843.125</c:v>
                </c:pt>
                <c:pt idx="292">
                  <c:v>43843.166666666664</c:v>
                </c:pt>
                <c:pt idx="293">
                  <c:v>43843.208333333336</c:v>
                </c:pt>
                <c:pt idx="294">
                  <c:v>43843.25</c:v>
                </c:pt>
                <c:pt idx="295">
                  <c:v>43843.291666666664</c:v>
                </c:pt>
                <c:pt idx="296">
                  <c:v>43843.333333333336</c:v>
                </c:pt>
                <c:pt idx="297">
                  <c:v>43843.375</c:v>
                </c:pt>
                <c:pt idx="298">
                  <c:v>43843.416666666664</c:v>
                </c:pt>
                <c:pt idx="299">
                  <c:v>43843.458333333336</c:v>
                </c:pt>
                <c:pt idx="300">
                  <c:v>43843.5</c:v>
                </c:pt>
                <c:pt idx="301">
                  <c:v>43843.541666666664</c:v>
                </c:pt>
                <c:pt idx="302">
                  <c:v>43843.583333333336</c:v>
                </c:pt>
                <c:pt idx="303">
                  <c:v>43843.625</c:v>
                </c:pt>
                <c:pt idx="304">
                  <c:v>43843.666666666664</c:v>
                </c:pt>
                <c:pt idx="305">
                  <c:v>43843.708333333336</c:v>
                </c:pt>
                <c:pt idx="306">
                  <c:v>43843.75</c:v>
                </c:pt>
                <c:pt idx="307">
                  <c:v>43843.791666666664</c:v>
                </c:pt>
                <c:pt idx="308">
                  <c:v>43843.833333333336</c:v>
                </c:pt>
                <c:pt idx="309">
                  <c:v>43843.875</c:v>
                </c:pt>
                <c:pt idx="310">
                  <c:v>43843.916666666664</c:v>
                </c:pt>
                <c:pt idx="311">
                  <c:v>43843.958333333336</c:v>
                </c:pt>
                <c:pt idx="312">
                  <c:v>43844</c:v>
                </c:pt>
                <c:pt idx="313">
                  <c:v>43844.041666666664</c:v>
                </c:pt>
                <c:pt idx="314">
                  <c:v>43844.083333333336</c:v>
                </c:pt>
                <c:pt idx="315">
                  <c:v>43844.125</c:v>
                </c:pt>
                <c:pt idx="316">
                  <c:v>43844.166666666664</c:v>
                </c:pt>
                <c:pt idx="317">
                  <c:v>43844.208333333336</c:v>
                </c:pt>
                <c:pt idx="318">
                  <c:v>43844.25</c:v>
                </c:pt>
                <c:pt idx="319">
                  <c:v>43844.291666666664</c:v>
                </c:pt>
                <c:pt idx="320">
                  <c:v>43844.333333333336</c:v>
                </c:pt>
                <c:pt idx="321">
                  <c:v>43844.375</c:v>
                </c:pt>
                <c:pt idx="322">
                  <c:v>43844.416666666664</c:v>
                </c:pt>
                <c:pt idx="323">
                  <c:v>43844.458333333336</c:v>
                </c:pt>
                <c:pt idx="324">
                  <c:v>43844.5</c:v>
                </c:pt>
                <c:pt idx="325">
                  <c:v>43844.541666666664</c:v>
                </c:pt>
                <c:pt idx="326">
                  <c:v>43844.583333333336</c:v>
                </c:pt>
                <c:pt idx="327">
                  <c:v>43844.625</c:v>
                </c:pt>
                <c:pt idx="328">
                  <c:v>43844.666666666664</c:v>
                </c:pt>
                <c:pt idx="329">
                  <c:v>43844.708333333336</c:v>
                </c:pt>
                <c:pt idx="330">
                  <c:v>43844.75</c:v>
                </c:pt>
                <c:pt idx="331">
                  <c:v>43844.791666666664</c:v>
                </c:pt>
                <c:pt idx="332">
                  <c:v>43844.833333333336</c:v>
                </c:pt>
                <c:pt idx="333">
                  <c:v>43844.875</c:v>
                </c:pt>
                <c:pt idx="334">
                  <c:v>43844.916666666664</c:v>
                </c:pt>
                <c:pt idx="335">
                  <c:v>43844.958333333336</c:v>
                </c:pt>
                <c:pt idx="336" formatCode="General">
                  <c:v>43845</c:v>
                </c:pt>
                <c:pt idx="337" formatCode="General">
                  <c:v>43845.041666666664</c:v>
                </c:pt>
                <c:pt idx="338" formatCode="General">
                  <c:v>43845.083333333336</c:v>
                </c:pt>
                <c:pt idx="339" formatCode="General">
                  <c:v>43845.125</c:v>
                </c:pt>
                <c:pt idx="340" formatCode="General">
                  <c:v>43845.166666666664</c:v>
                </c:pt>
                <c:pt idx="341" formatCode="General">
                  <c:v>43845.208333333336</c:v>
                </c:pt>
                <c:pt idx="342" formatCode="General">
                  <c:v>43845.25</c:v>
                </c:pt>
                <c:pt idx="343" formatCode="General">
                  <c:v>43845.291666666664</c:v>
                </c:pt>
                <c:pt idx="344" formatCode="General">
                  <c:v>43845.333333333336</c:v>
                </c:pt>
                <c:pt idx="345" formatCode="General">
                  <c:v>43845.375</c:v>
                </c:pt>
                <c:pt idx="346" formatCode="General">
                  <c:v>43845.416666666664</c:v>
                </c:pt>
                <c:pt idx="347" formatCode="General">
                  <c:v>43845.458333333336</c:v>
                </c:pt>
                <c:pt idx="348" formatCode="General">
                  <c:v>43845.5</c:v>
                </c:pt>
                <c:pt idx="349" formatCode="General">
                  <c:v>43845.541666666664</c:v>
                </c:pt>
                <c:pt idx="350" formatCode="General">
                  <c:v>43845.583333333336</c:v>
                </c:pt>
                <c:pt idx="351" formatCode="General">
                  <c:v>43845.625</c:v>
                </c:pt>
                <c:pt idx="352" formatCode="General">
                  <c:v>43845.666666666664</c:v>
                </c:pt>
                <c:pt idx="353" formatCode="General">
                  <c:v>43845.708333333336</c:v>
                </c:pt>
                <c:pt idx="354" formatCode="General">
                  <c:v>43845.75</c:v>
                </c:pt>
                <c:pt idx="355" formatCode="General">
                  <c:v>43845.791666666664</c:v>
                </c:pt>
                <c:pt idx="356" formatCode="General">
                  <c:v>43845.833333333336</c:v>
                </c:pt>
                <c:pt idx="357" formatCode="General">
                  <c:v>43845.875</c:v>
                </c:pt>
                <c:pt idx="358" formatCode="General">
                  <c:v>43845.916666666664</c:v>
                </c:pt>
                <c:pt idx="359" formatCode="General">
                  <c:v>43845.958333333336</c:v>
                </c:pt>
              </c:numCache>
            </c:numRef>
          </c:xVal>
          <c:yVal>
            <c:numRef>
              <c:f>[0]!_chartCalculations</c:f>
              <c:numCache>
                <c:formatCode>General</c:formatCode>
                <c:ptCount val="360"/>
                <c:pt idx="0">
                  <c:v>0.30492405268355033</c:v>
                </c:pt>
                <c:pt idx="1">
                  <c:v>0.23467643868657784</c:v>
                </c:pt>
                <c:pt idx="2">
                  <c:v>0.15309282987842601</c:v>
                </c:pt>
                <c:pt idx="3">
                  <c:v>0.13786086826644728</c:v>
                </c:pt>
                <c:pt idx="4">
                  <c:v>0.2004758736951231</c:v>
                </c:pt>
                <c:pt idx="5">
                  <c:v>0.27688038539327198</c:v>
                </c:pt>
                <c:pt idx="6">
                  <c:v>0.290731419215155</c:v>
                </c:pt>
                <c:pt idx="7">
                  <c:v>0.22855836645048744</c:v>
                </c:pt>
                <c:pt idx="8">
                  <c:v>0.15399430366406733</c:v>
                </c:pt>
                <c:pt idx="9">
                  <c:v>0.14642258701351374</c:v>
                </c:pt>
                <c:pt idx="10">
                  <c:v>0.22251540588273294</c:v>
                </c:pt>
                <c:pt idx="11">
                  <c:v>0.31674967538499038</c:v>
                </c:pt>
                <c:pt idx="12">
                  <c:v>0.34123055838025051</c:v>
                </c:pt>
                <c:pt idx="13">
                  <c:v>0.26882484406443341</c:v>
                </c:pt>
                <c:pt idx="14">
                  <c:v>0.1601165722325843</c:v>
                </c:pt>
                <c:pt idx="15">
                  <c:v>0.10748037020341634</c:v>
                </c:pt>
                <c:pt idx="16">
                  <c:v>0.14879228251763166</c:v>
                </c:pt>
                <c:pt idx="17">
                  <c:v>0.23298244517349959</c:v>
                </c:pt>
                <c:pt idx="18">
                  <c:v>0.27059674988314147</c:v>
                </c:pt>
                <c:pt idx="19">
                  <c:v>0.22110448647998049</c:v>
                </c:pt>
                <c:pt idx="20">
                  <c:v>0.13294052894353445</c:v>
                </c:pt>
                <c:pt idx="21">
                  <c:v>9.713024285383412E-2</c:v>
                </c:pt>
                <c:pt idx="22">
                  <c:v>0.15843351211072118</c:v>
                </c:pt>
                <c:pt idx="23">
                  <c:v>0.26956233829155474</c:v>
                </c:pt>
                <c:pt idx="24">
                  <c:v>0.33356862032191875</c:v>
                </c:pt>
                <c:pt idx="25">
                  <c:v>0.29502612584901583</c:v>
                </c:pt>
                <c:pt idx="26">
                  <c:v>0.19305407912469019</c:v>
                </c:pt>
                <c:pt idx="27">
                  <c:v>0.12480971179377282</c:v>
                </c:pt>
                <c:pt idx="28">
                  <c:v>0.15348526248071293</c:v>
                </c:pt>
                <c:pt idx="29">
                  <c:v>0.2484269628351285</c:v>
                </c:pt>
                <c:pt idx="30">
                  <c:v>0.31489606948114307</c:v>
                </c:pt>
                <c:pt idx="31">
                  <c:v>0.28537217555780736</c:v>
                </c:pt>
                <c:pt idx="32">
                  <c:v>0.18499110826010345</c:v>
                </c:pt>
                <c:pt idx="33">
                  <c:v>0.10797245863451781</c:v>
                </c:pt>
                <c:pt idx="34">
                  <c:v>0.12708915800259474</c:v>
                </c:pt>
                <c:pt idx="35">
                  <c:v>0.22290744996012943</c:v>
                </c:pt>
                <c:pt idx="36">
                  <c:v>0.30126998303218394</c:v>
                </c:pt>
                <c:pt idx="37">
                  <c:v>0.28315693338100445</c:v>
                </c:pt>
                <c:pt idx="38">
                  <c:v>0.18121262527600523</c:v>
                </c:pt>
                <c:pt idx="39">
                  <c:v>8.9188171601234711E-2</c:v>
                </c:pt>
                <c:pt idx="40">
                  <c:v>9.3528162516825414E-2</c:v>
                </c:pt>
                <c:pt idx="41">
                  <c:v>0.1911547197616873</c:v>
                </c:pt>
                <c:pt idx="42">
                  <c:v>0.29221238821156614</c:v>
                </c:pt>
                <c:pt idx="43">
                  <c:v>0.30560627904828691</c:v>
                </c:pt>
                <c:pt idx="44">
                  <c:v>0.22577476528048634</c:v>
                </c:pt>
                <c:pt idx="45">
                  <c:v>0.13753048282639063</c:v>
                </c:pt>
                <c:pt idx="46">
                  <c:v>0.13402034452973435</c:v>
                </c:pt>
                <c:pt idx="47">
                  <c:v>0.22627534557798074</c:v>
                </c:pt>
                <c:pt idx="48">
                  <c:v>0.33135080467734701</c:v>
                </c:pt>
                <c:pt idx="49">
                  <c:v>0.35104353791391552</c:v>
                </c:pt>
                <c:pt idx="50">
                  <c:v>0.26616187091385202</c:v>
                </c:pt>
                <c:pt idx="51">
                  <c:v>0.1558308525152034</c:v>
                </c:pt>
                <c:pt idx="52">
                  <c:v>0.122671062248132</c:v>
                </c:pt>
                <c:pt idx="53">
                  <c:v>0.19491260649220657</c:v>
                </c:pt>
                <c:pt idx="54">
                  <c:v>0.29909593776981475</c:v>
                </c:pt>
                <c:pt idx="55">
                  <c:v>0.32989766579045754</c:v>
                </c:pt>
                <c:pt idx="56">
                  <c:v>0.25070243178769552</c:v>
                </c:pt>
                <c:pt idx="57">
                  <c:v>0.12881114977346192</c:v>
                </c:pt>
                <c:pt idx="58">
                  <c:v>7.1436213570785723E-2</c:v>
                </c:pt>
                <c:pt idx="59">
                  <c:v>0.12357744534024408</c:v>
                </c:pt>
                <c:pt idx="60">
                  <c:v>0.2255808998660557</c:v>
                </c:pt>
                <c:pt idx="61">
                  <c:v>0.27122110826983648</c:v>
                </c:pt>
                <c:pt idx="62">
                  <c:v>0.21079524450320705</c:v>
                </c:pt>
                <c:pt idx="63">
                  <c:v>0.10026126027551438</c:v>
                </c:pt>
                <c:pt idx="64">
                  <c:v>4.8799270452575261E-2</c:v>
                </c:pt>
                <c:pt idx="65">
                  <c:v>0.11445409986318426</c:v>
                </c:pt>
                <c:pt idx="66">
                  <c:v>0.24760556182468385</c:v>
                </c:pt>
                <c:pt idx="67">
                  <c:v>0.33669110585296413</c:v>
                </c:pt>
                <c:pt idx="68">
                  <c:v>0.31295661451944518</c:v>
                </c:pt>
                <c:pt idx="69">
                  <c:v>0.21442476861514137</c:v>
                </c:pt>
                <c:pt idx="70">
                  <c:v>0.14807393801587226</c:v>
                </c:pt>
                <c:pt idx="71">
                  <c:v>0.18649080849504826</c:v>
                </c:pt>
                <c:pt idx="72">
                  <c:v>0.2979634405726268</c:v>
                </c:pt>
                <c:pt idx="73">
                  <c:v>0.37699277795033515</c:v>
                </c:pt>
                <c:pt idx="74">
                  <c:v>0.34599773767024022</c:v>
                </c:pt>
                <c:pt idx="75">
                  <c:v>0.23064215738968005</c:v>
                </c:pt>
                <c:pt idx="76">
                  <c:v>0.13627821882331051</c:v>
                </c:pt>
                <c:pt idx="77">
                  <c:v>0.1476480310622203</c:v>
                </c:pt>
                <c:pt idx="78">
                  <c:v>0.24765667175697853</c:v>
                </c:pt>
                <c:pt idx="79">
                  <c:v>0.3330925428361392</c:v>
                </c:pt>
                <c:pt idx="80">
                  <c:v>0.31261908336564176</c:v>
                </c:pt>
                <c:pt idx="81">
                  <c:v>0.19367803744358608</c:v>
                </c:pt>
                <c:pt idx="82">
                  <c:v>7.5454512502446835E-2</c:v>
                </c:pt>
                <c:pt idx="83">
                  <c:v>5.4780786790622621E-2</c:v>
                </c:pt>
                <c:pt idx="84">
                  <c:v>0.13499286781873651</c:v>
                </c:pt>
                <c:pt idx="85">
                  <c:v>0.2247623459877644</c:v>
                </c:pt>
                <c:pt idx="86">
                  <c:v>0.22768296189649034</c:v>
                </c:pt>
                <c:pt idx="87">
                  <c:v>0.13646041654451596</c:v>
                </c:pt>
                <c:pt idx="88">
                  <c:v>4.1159298922992221E-2</c:v>
                </c:pt>
                <c:pt idx="89">
                  <c:v>4.3312033317643883E-2</c:v>
                </c:pt>
                <c:pt idx="90">
                  <c:v>0.15795354215398791</c:v>
                </c:pt>
                <c:pt idx="91">
                  <c:v>0.29739975711685984</c:v>
                </c:pt>
                <c:pt idx="92">
                  <c:v>0.35256651996726296</c:v>
                </c:pt>
                <c:pt idx="93">
                  <c:v>0.29446707678334094</c:v>
                </c:pt>
                <c:pt idx="94">
                  <c:v>0.19932411208206008</c:v>
                </c:pt>
                <c:pt idx="95">
                  <c:v>0.17378401108106739</c:v>
                </c:pt>
                <c:pt idx="96">
                  <c:v>0.25208582775973787</c:v>
                </c:pt>
                <c:pt idx="97">
                  <c:v>0.3635307330353752</c:v>
                </c:pt>
                <c:pt idx="98">
                  <c:v>0.4010326670507981</c:v>
                </c:pt>
                <c:pt idx="99">
                  <c:v>0.32470831763083102</c:v>
                </c:pt>
                <c:pt idx="100">
                  <c:v>0.20104566356690556</c:v>
                </c:pt>
                <c:pt idx="101">
                  <c:v>0.14002072937999457</c:v>
                </c:pt>
                <c:pt idx="102">
                  <c:v>0.19029363829111021</c:v>
                </c:pt>
                <c:pt idx="103">
                  <c:v>0.29273253351545681</c:v>
                </c:pt>
                <c:pt idx="104">
                  <c:v>0.33671598328319741</c:v>
                </c:pt>
                <c:pt idx="105">
                  <c:v>0.26546595041027476</c:v>
                </c:pt>
                <c:pt idx="106">
                  <c:v>0.12999416193583174</c:v>
                </c:pt>
                <c:pt idx="107">
                  <c:v>4.0557383330082658E-2</c:v>
                </c:pt>
                <c:pt idx="108">
                  <c:v>6.2428886487210011E-2</c:v>
                </c:pt>
                <c:pt idx="109">
                  <c:v>0.15563594330528496</c:v>
                </c:pt>
                <c:pt idx="110">
                  <c:v>0.21579077557405521</c:v>
                </c:pt>
                <c:pt idx="111">
                  <c:v>0.17625095854167847</c:v>
                </c:pt>
                <c:pt idx="112">
                  <c:v>7.337698659976824E-2</c:v>
                </c:pt>
                <c:pt idx="113">
                  <c:v>1.2335346384122869E-2</c:v>
                </c:pt>
                <c:pt idx="114">
                  <c:v>6.6268063220682877E-2</c:v>
                </c:pt>
                <c:pt idx="115">
                  <c:v>0.20534436440809531</c:v>
                </c:pt>
                <c:pt idx="116">
                  <c:v>0.32347523889897678</c:v>
                </c:pt>
                <c:pt idx="117">
                  <c:v>0.33709948424145691</c:v>
                </c:pt>
                <c:pt idx="118">
                  <c:v>0.26185962711636129</c:v>
                </c:pt>
                <c:pt idx="119">
                  <c:v>0.19454318287337855</c:v>
                </c:pt>
                <c:pt idx="120">
                  <c:v>0.21835932271488365</c:v>
                </c:pt>
                <c:pt idx="121">
                  <c:v>0.32254342466402797</c:v>
                </c:pt>
                <c:pt idx="122">
                  <c:v>0.41294212006082143</c:v>
                </c:pt>
                <c:pt idx="123">
                  <c:v>0.40282211706595561</c:v>
                </c:pt>
                <c:pt idx="124">
                  <c:v>0.29654077958868319</c:v>
                </c:pt>
                <c:pt idx="125">
                  <c:v>0.18599706261459209</c:v>
                </c:pt>
                <c:pt idx="126">
                  <c:v>0.16351603439533219</c:v>
                </c:pt>
                <c:pt idx="127">
                  <c:v>0.23462159617091077</c:v>
                </c:pt>
                <c:pt idx="128">
                  <c:v>0.31385732952392276</c:v>
                </c:pt>
                <c:pt idx="129">
                  <c:v>0.30717472195866502</c:v>
                </c:pt>
                <c:pt idx="130">
                  <c:v>0.20189679360599422</c:v>
                </c:pt>
                <c:pt idx="131">
                  <c:v>7.8610403263569412E-2</c:v>
                </c:pt>
                <c:pt idx="132">
                  <c:v>3.4370235672665922E-2</c:v>
                </c:pt>
                <c:pt idx="133">
                  <c:v>9.1171047230696411E-2</c:v>
                </c:pt>
                <c:pt idx="134">
                  <c:v>0.1770346729825592</c:v>
                </c:pt>
                <c:pt idx="135">
                  <c:v>0.19704045232648235</c:v>
                </c:pt>
                <c:pt idx="136">
                  <c:v>0.12564109310763805</c:v>
                </c:pt>
                <c:pt idx="137">
                  <c:v>3.1807335709190143E-2</c:v>
                </c:pt>
                <c:pt idx="138">
                  <c:v>1.3308046947095281E-2</c:v>
                </c:pt>
                <c:pt idx="139">
                  <c:v>0.10331526516305829</c:v>
                </c:pt>
                <c:pt idx="140">
                  <c:v>0.23848103763971731</c:v>
                </c:pt>
                <c:pt idx="141">
                  <c:v>0.31840489201026501</c:v>
                </c:pt>
                <c:pt idx="142">
                  <c:v>0.29917711847806994</c:v>
                </c:pt>
                <c:pt idx="143">
                  <c:v>0.23183561465000288</c:v>
                </c:pt>
                <c:pt idx="144">
                  <c:v>0.2099591218764362</c:v>
                </c:pt>
                <c:pt idx="145">
                  <c:v>0.27755358349675474</c:v>
                </c:pt>
                <c:pt idx="146">
                  <c:v>0.38568642780995571</c:v>
                </c:pt>
                <c:pt idx="147">
                  <c:v>0.43891461656321973</c:v>
                </c:pt>
                <c:pt idx="148">
                  <c:v>0.38646295304166017</c:v>
                </c:pt>
                <c:pt idx="149">
                  <c:v>0.27079426469289963</c:v>
                </c:pt>
                <c:pt idx="150">
                  <c:v>0.18758100176013015</c:v>
                </c:pt>
                <c:pt idx="151">
                  <c:v>0.1958768641330205</c:v>
                </c:pt>
                <c:pt idx="152">
                  <c:v>0.26426307524697407</c:v>
                </c:pt>
                <c:pt idx="153">
                  <c:v>0.30355939679615096</c:v>
                </c:pt>
                <c:pt idx="154">
                  <c:v>0.25376083903436786</c:v>
                </c:pt>
                <c:pt idx="155">
                  <c:v>0.14171003609598887</c:v>
                </c:pt>
                <c:pt idx="156">
                  <c:v>5.4985289973265877E-2</c:v>
                </c:pt>
                <c:pt idx="157">
                  <c:v>5.8022224094406993E-2</c:v>
                </c:pt>
                <c:pt idx="158">
                  <c:v>0.13124167466632747</c:v>
                </c:pt>
                <c:pt idx="159">
                  <c:v>0.19106425141053449</c:v>
                </c:pt>
                <c:pt idx="160">
                  <c:v>0.1708985675395695</c:v>
                </c:pt>
                <c:pt idx="161">
                  <c:v>8.5278119568323957E-2</c:v>
                </c:pt>
                <c:pt idx="162">
                  <c:v>1.6218570535099175E-2</c:v>
                </c:pt>
                <c:pt idx="163">
                  <c:v>3.5558295345533508E-2</c:v>
                </c:pt>
                <c:pt idx="164">
                  <c:v>0.13769230321414758</c:v>
                </c:pt>
                <c:pt idx="165">
                  <c:v>0.24618683481649972</c:v>
                </c:pt>
                <c:pt idx="166">
                  <c:v>0.28665418741988014</c:v>
                </c:pt>
                <c:pt idx="167">
                  <c:v>0.25549496405479061</c:v>
                </c:pt>
                <c:pt idx="168">
                  <c:v>0.2192884412200487</c:v>
                </c:pt>
                <c:pt idx="169">
                  <c:v>0.24678672382492411</c:v>
                </c:pt>
                <c:pt idx="170">
                  <c:v>0.33974472399663547</c:v>
                </c:pt>
                <c:pt idx="171">
                  <c:v>0.42900810214076512</c:v>
                </c:pt>
                <c:pt idx="172">
                  <c:v>0.43913716829313931</c:v>
                </c:pt>
                <c:pt idx="173">
                  <c:v>0.35942995033134056</c:v>
                </c:pt>
                <c:pt idx="174">
                  <c:v>0.25384281194674785</c:v>
                </c:pt>
                <c:pt idx="175">
                  <c:v>0.20120578302415015</c:v>
                </c:pt>
                <c:pt idx="176">
                  <c:v>0.22328283690286232</c:v>
                </c:pt>
                <c:pt idx="177">
                  <c:v>0.26863615153652248</c:v>
                </c:pt>
                <c:pt idx="178">
                  <c:v>0.26598704498216003</c:v>
                </c:pt>
                <c:pt idx="179">
                  <c:v>0.19456270869507236</c:v>
                </c:pt>
                <c:pt idx="180">
                  <c:v>0.10394393432440008</c:v>
                </c:pt>
                <c:pt idx="181">
                  <c:v>6.547701101874559E-2</c:v>
                </c:pt>
                <c:pt idx="182">
                  <c:v>0.10302124060519946</c:v>
                </c:pt>
                <c:pt idx="183">
                  <c:v>0.16979111097969674</c:v>
                </c:pt>
                <c:pt idx="184">
                  <c:v>0.19305138635799168</c:v>
                </c:pt>
                <c:pt idx="185">
                  <c:v>0.14340671667468552</c:v>
                </c:pt>
                <c:pt idx="186">
                  <c:v>6.2636575226645452E-2</c:v>
                </c:pt>
                <c:pt idx="187">
                  <c:v>2.4388277107220691E-2</c:v>
                </c:pt>
                <c:pt idx="188">
                  <c:v>6.6021366984265528E-2</c:v>
                </c:pt>
                <c:pt idx="189">
                  <c:v>0.15627131183546991</c:v>
                </c:pt>
                <c:pt idx="190">
                  <c:v>0.22792253026336126</c:v>
                </c:pt>
                <c:pt idx="191">
                  <c:v>0.24239806457535384</c:v>
                </c:pt>
                <c:pt idx="192">
                  <c:v>0.22386046012063593</c:v>
                </c:pt>
                <c:pt idx="193">
                  <c:v>0.23118429981482869</c:v>
                </c:pt>
                <c:pt idx="194">
                  <c:v>0.2963483031470957</c:v>
                </c:pt>
                <c:pt idx="195">
                  <c:v>0.38940964634397657</c:v>
                </c:pt>
                <c:pt idx="196">
                  <c:v>0.4437438554446077</c:v>
                </c:pt>
                <c:pt idx="197">
                  <c:v>0.41710615348899094</c:v>
                </c:pt>
                <c:pt idx="198">
                  <c:v>0.33030614072589964</c:v>
                </c:pt>
                <c:pt idx="199">
                  <c:v>0.24748978611028821</c:v>
                </c:pt>
                <c:pt idx="200">
                  <c:v>0.21785658905021085</c:v>
                </c:pt>
                <c:pt idx="201">
                  <c:v>0.23432648806557241</c:v>
                </c:pt>
                <c:pt idx="202">
                  <c:v>0.24688623058572209</c:v>
                </c:pt>
                <c:pt idx="203">
                  <c:v>0.21541053893790066</c:v>
                </c:pt>
                <c:pt idx="204">
                  <c:v>0.14990958614519043</c:v>
                </c:pt>
                <c:pt idx="205">
                  <c:v>9.996057183406612E-2</c:v>
                </c:pt>
                <c:pt idx="206">
                  <c:v>0.10495753801626795</c:v>
                </c:pt>
                <c:pt idx="207">
                  <c:v>0.15421698759376917</c:v>
                </c:pt>
                <c:pt idx="208">
                  <c:v>0.19554186276827104</c:v>
                </c:pt>
                <c:pt idx="209">
                  <c:v>0.1837384069900832</c:v>
                </c:pt>
                <c:pt idx="210">
                  <c:v>0.12262634213361476</c:v>
                </c:pt>
                <c:pt idx="211">
                  <c:v>6.1183642053327797E-2</c:v>
                </c:pt>
                <c:pt idx="212">
                  <c:v>4.8672853937883676E-2</c:v>
                </c:pt>
                <c:pt idx="213">
                  <c:v>9.1896469763279545E-2</c:v>
                </c:pt>
                <c:pt idx="214">
                  <c:v>0.15400091039584282</c:v>
                </c:pt>
                <c:pt idx="215">
                  <c:v>0.19342993360217053</c:v>
                </c:pt>
                <c:pt idx="216">
                  <c:v>0.20375705061339522</c:v>
                </c:pt>
                <c:pt idx="217">
                  <c:v>0.21610797509691526</c:v>
                </c:pt>
                <c:pt idx="218">
                  <c:v>0.26340476283587377</c:v>
                </c:pt>
                <c:pt idx="219">
                  <c:v>0.3426272465654393</c:v>
                </c:pt>
                <c:pt idx="220">
                  <c:v>0.41234289363587151</c:v>
                </c:pt>
                <c:pt idx="221">
                  <c:v>0.42800094060513627</c:v>
                </c:pt>
                <c:pt idx="222">
                  <c:v>0.38123722278069949</c:v>
                </c:pt>
                <c:pt idx="223">
                  <c:v>0.30634389475501156</c:v>
                </c:pt>
                <c:pt idx="224">
                  <c:v>0.24900809512798669</c:v>
                </c:pt>
                <c:pt idx="225">
                  <c:v>0.2278376160533262</c:v>
                </c:pt>
                <c:pt idx="226">
                  <c:v>0.22432975400715024</c:v>
                </c:pt>
                <c:pt idx="227">
                  <c:v>0.20817706580529272</c:v>
                </c:pt>
                <c:pt idx="228">
                  <c:v>0.17096812467562572</c:v>
                </c:pt>
                <c:pt idx="229">
                  <c:v>0.13492308626615129</c:v>
                </c:pt>
                <c:pt idx="230">
                  <c:v>0.12923038459285768</c:v>
                </c:pt>
                <c:pt idx="231">
                  <c:v>0.15854453174912878</c:v>
                </c:pt>
                <c:pt idx="232">
                  <c:v>0.19521009172883183</c:v>
                </c:pt>
                <c:pt idx="233">
                  <c:v>0.20297258650474137</c:v>
                </c:pt>
                <c:pt idx="234">
                  <c:v>0.16936215984196351</c:v>
                </c:pt>
                <c:pt idx="235">
                  <c:v>0.11622619145239467</c:v>
                </c:pt>
                <c:pt idx="236">
                  <c:v>7.95620007150247E-2</c:v>
                </c:pt>
                <c:pt idx="237">
                  <c:v>7.8916436760503611E-2</c:v>
                </c:pt>
                <c:pt idx="238">
                  <c:v>0.10503888768210147</c:v>
                </c:pt>
                <c:pt idx="239">
                  <c:v>0.13519838452438479</c:v>
                </c:pt>
                <c:pt idx="240">
                  <c:v>0.15855073103134829</c:v>
                </c:pt>
                <c:pt idx="241">
                  <c:v>0.18560486013165303</c:v>
                </c:pt>
                <c:pt idx="242">
                  <c:v>0.23325881471660062</c:v>
                </c:pt>
                <c:pt idx="243">
                  <c:v>0.30178105427978064</c:v>
                </c:pt>
                <c:pt idx="244">
                  <c:v>0.36777657948823478</c:v>
                </c:pt>
                <c:pt idx="245">
                  <c:v>0.40079451142144273</c:v>
                </c:pt>
                <c:pt idx="246">
                  <c:v>0.38780376513085624</c:v>
                </c:pt>
                <c:pt idx="247">
                  <c:v>0.34248465084834062</c:v>
                </c:pt>
                <c:pt idx="248">
                  <c:v>0.29160349049856937</c:v>
                </c:pt>
                <c:pt idx="249">
                  <c:v>0.25273948807918384</c:v>
                </c:pt>
                <c:pt idx="250">
                  <c:v>0.22459241424386414</c:v>
                </c:pt>
                <c:pt idx="251">
                  <c:v>0.19706222800339687</c:v>
                </c:pt>
                <c:pt idx="252">
                  <c:v>0.16823908951717506</c:v>
                </c:pt>
                <c:pt idx="253">
                  <c:v>0.14956683800881421</c:v>
                </c:pt>
                <c:pt idx="254">
                  <c:v>0.15388460084652988</c:v>
                </c:pt>
                <c:pt idx="255">
                  <c:v>0.17937952091520146</c:v>
                </c:pt>
                <c:pt idx="256">
                  <c:v>0.20688425589399451</c:v>
                </c:pt>
                <c:pt idx="257">
                  <c:v>0.21430060316119762</c:v>
                </c:pt>
                <c:pt idx="258">
                  <c:v>0.19451444824018765</c:v>
                </c:pt>
                <c:pt idx="259">
                  <c:v>0.1597504512543606</c:v>
                </c:pt>
                <c:pt idx="260">
                  <c:v>0.12905968176401653</c:v>
                </c:pt>
                <c:pt idx="261">
                  <c:v>0.11222417278119809</c:v>
                </c:pt>
                <c:pt idx="262">
                  <c:v>0.1059266023965471</c:v>
                </c:pt>
                <c:pt idx="263">
                  <c:v>0.10438708180457248</c:v>
                </c:pt>
                <c:pt idx="264">
                  <c:v>0.11129571893665946</c:v>
                </c:pt>
                <c:pt idx="265">
                  <c:v>0.13880623539476181</c:v>
                </c:pt>
                <c:pt idx="266">
                  <c:v>0.19361912089933947</c:v>
                </c:pt>
                <c:pt idx="267">
                  <c:v>0.26475693512834769</c:v>
                </c:pt>
                <c:pt idx="268">
                  <c:v>0.32703714699676695</c:v>
                </c:pt>
                <c:pt idx="269">
                  <c:v>0.35866370751308824</c:v>
                </c:pt>
                <c:pt idx="270">
                  <c:v>0.35668082285186253</c:v>
                </c:pt>
                <c:pt idx="271">
                  <c:v>0.33560479797868265</c:v>
                </c:pt>
                <c:pt idx="272">
                  <c:v>0.31119663965968108</c:v>
                </c:pt>
                <c:pt idx="273">
                  <c:v>0.28620611435317755</c:v>
                </c:pt>
                <c:pt idx="274">
                  <c:v>0.25258586347565609</c:v>
                </c:pt>
                <c:pt idx="275">
                  <c:v>0.20719312049702002</c:v>
                </c:pt>
                <c:pt idx="276">
                  <c:v>0.1632502224578683</c:v>
                </c:pt>
                <c:pt idx="277">
                  <c:v>0.14344307348347946</c:v>
                </c:pt>
                <c:pt idx="278">
                  <c:v>0.1595275348867978</c:v>
                </c:pt>
                <c:pt idx="279">
                  <c:v>0.19849362149583871</c:v>
                </c:pt>
                <c:pt idx="280">
                  <c:v>0.23054431366642494</c:v>
                </c:pt>
                <c:pt idx="281">
                  <c:v>0.23313880472929283</c:v>
                </c:pt>
                <c:pt idx="282">
                  <c:v>0.20884921683169691</c:v>
                </c:pt>
                <c:pt idx="283">
                  <c:v>0.17992235931256398</c:v>
                </c:pt>
                <c:pt idx="284">
                  <c:v>0.16502712176843687</c:v>
                </c:pt>
                <c:pt idx="285">
                  <c:v>0.16150831057312051</c:v>
                </c:pt>
                <c:pt idx="286">
                  <c:v>0.15123976705435915</c:v>
                </c:pt>
                <c:pt idx="287">
                  <c:v>0.12428063996463672</c:v>
                </c:pt>
                <c:pt idx="288">
                  <c:v>9.5616410435945848E-2</c:v>
                </c:pt>
                <c:pt idx="289">
                  <c:v>9.5937467793406173E-2</c:v>
                </c:pt>
                <c:pt idx="290">
                  <c:v>0.14313837783442901</c:v>
                </c:pt>
                <c:pt idx="291">
                  <c:v>0.22180655901976756</c:v>
                </c:pt>
                <c:pt idx="292">
                  <c:v>0.29214458813282906</c:v>
                </c:pt>
                <c:pt idx="293">
                  <c:v>0.32193241836886682</c:v>
                </c:pt>
                <c:pt idx="294">
                  <c:v>0.31211301330886976</c:v>
                </c:pt>
                <c:pt idx="295">
                  <c:v>0.29165278876083595</c:v>
                </c:pt>
                <c:pt idx="296">
                  <c:v>0.28666964740294809</c:v>
                </c:pt>
                <c:pt idx="297">
                  <c:v>0.2941878059984705</c:v>
                </c:pt>
                <c:pt idx="298">
                  <c:v>0.28685014929594216</c:v>
                </c:pt>
                <c:pt idx="299">
                  <c:v>0.24443743013179683</c:v>
                </c:pt>
                <c:pt idx="300">
                  <c:v>0.18060126954831021</c:v>
                </c:pt>
                <c:pt idx="301">
                  <c:v>0.13644436863865322</c:v>
                </c:pt>
                <c:pt idx="302">
                  <c:v>0.14457644514365664</c:v>
                </c:pt>
                <c:pt idx="303">
                  <c:v>0.1973159008465491</c:v>
                </c:pt>
                <c:pt idx="304">
                  <c:v>0.2507098383764213</c:v>
                </c:pt>
                <c:pt idx="305">
                  <c:v>0.26252997701521463</c:v>
                </c:pt>
                <c:pt idx="306">
                  <c:v>0.22919505062431528</c:v>
                </c:pt>
                <c:pt idx="307">
                  <c:v>0.18645415198209903</c:v>
                </c:pt>
                <c:pt idx="308">
                  <c:v>0.17296216347326032</c:v>
                </c:pt>
                <c:pt idx="309">
                  <c:v>0.19200645483540943</c:v>
                </c:pt>
                <c:pt idx="310">
                  <c:v>0.20911463130834351</c:v>
                </c:pt>
                <c:pt idx="311">
                  <c:v>0.18861878036801866</c:v>
                </c:pt>
                <c:pt idx="312">
                  <c:v>0.13350991299191822</c:v>
                </c:pt>
                <c:pt idx="313">
                  <c:v>8.8237578770728062E-2</c:v>
                </c:pt>
                <c:pt idx="314">
                  <c:v>9.9296463810043145E-2</c:v>
                </c:pt>
                <c:pt idx="315">
                  <c:v>0.17016282535632643</c:v>
                </c:pt>
                <c:pt idx="316">
                  <c:v>0.25448550155728078</c:v>
                </c:pt>
                <c:pt idx="317">
                  <c:v>0.29592898919991922</c:v>
                </c:pt>
                <c:pt idx="318">
                  <c:v>0.27806057658146371</c:v>
                </c:pt>
                <c:pt idx="319">
                  <c:v>0.23691193840874192</c:v>
                </c:pt>
                <c:pt idx="320">
                  <c:v>0.22387319661622859</c:v>
                </c:pt>
                <c:pt idx="321">
                  <c:v>0.25447291894276314</c:v>
                </c:pt>
                <c:pt idx="322">
                  <c:v>0.29293503638754559</c:v>
                </c:pt>
                <c:pt idx="323">
                  <c:v>0.28831908229757008</c:v>
                </c:pt>
                <c:pt idx="324">
                  <c:v>0.22764872544577358</c:v>
                </c:pt>
                <c:pt idx="325">
                  <c:v>0.1536407044211594</c:v>
                </c:pt>
                <c:pt idx="326">
                  <c:v>0.12778971360473065</c:v>
                </c:pt>
                <c:pt idx="327">
                  <c:v>0.17262772243200533</c:v>
                </c:pt>
                <c:pt idx="328">
                  <c:v>0.24860827282124234</c:v>
                </c:pt>
                <c:pt idx="329">
                  <c:v>0.28922691586895322</c:v>
                </c:pt>
                <c:pt idx="330">
                  <c:v>0.26224139459689666</c:v>
                </c:pt>
                <c:pt idx="331">
                  <c:v>0.19884891347224526</c:v>
                </c:pt>
                <c:pt idx="332">
                  <c:v>0.16244406659678495</c:v>
                </c:pt>
                <c:pt idx="333">
                  <c:v>0.18649449480650954</c:v>
                </c:pt>
                <c:pt idx="334">
                  <c:v>0.2414810980212112</c:v>
                </c:pt>
                <c:pt idx="335">
                  <c:v>0.26360747799610668</c:v>
                </c:pt>
                <c:pt idx="336">
                  <c:v>0.2183610917503768</c:v>
                </c:pt>
                <c:pt idx="337">
                  <c:v>0.13733508796336463</c:v>
                </c:pt>
                <c:pt idx="338">
                  <c:v>9.1301299879842424E-2</c:v>
                </c:pt>
                <c:pt idx="339">
                  <c:v>0.12376565938310917</c:v>
                </c:pt>
                <c:pt idx="340">
                  <c:v>0.20838245167724462</c:v>
                </c:pt>
                <c:pt idx="341">
                  <c:v>0.27209046004743237</c:v>
                </c:pt>
                <c:pt idx="342">
                  <c:v>0.26320322698020154</c:v>
                </c:pt>
                <c:pt idx="343">
                  <c:v>0.19982034566607637</c:v>
                </c:pt>
                <c:pt idx="344">
                  <c:v>0.15173893242095793</c:v>
                </c:pt>
                <c:pt idx="345">
                  <c:v>0.17248809972153695</c:v>
                </c:pt>
                <c:pt idx="346">
                  <c:v>0.24658953578897114</c:v>
                </c:pt>
                <c:pt idx="347">
                  <c:v>0.303431491961204</c:v>
                </c:pt>
                <c:pt idx="348">
                  <c:v>0.28540551328300057</c:v>
                </c:pt>
                <c:pt idx="349">
                  <c:v>0.2050659627491789</c:v>
                </c:pt>
                <c:pt idx="350">
                  <c:v>0.13548203598219671</c:v>
                </c:pt>
                <c:pt idx="351">
                  <c:v>0.1416607712481861</c:v>
                </c:pt>
                <c:pt idx="352">
                  <c:v>0.21817741480926331</c:v>
                </c:pt>
                <c:pt idx="353">
                  <c:v>0.29338433426247212</c:v>
                </c:pt>
                <c:pt idx="354">
                  <c:v>0.29729946770404619</c:v>
                </c:pt>
                <c:pt idx="355">
                  <c:v>0.22871087222594072</c:v>
                </c:pt>
                <c:pt idx="356">
                  <c:v>0.15675091857872853</c:v>
                </c:pt>
                <c:pt idx="357">
                  <c:v>0.15447338767099372</c:v>
                </c:pt>
                <c:pt idx="358">
                  <c:v>0.22761222256066849</c:v>
                </c:pt>
                <c:pt idx="359">
                  <c:v>0.30732595792875927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A3-410E-AD91-4A0FF3799814}"/>
            </c:ext>
          </c:extLst>
        </c:ser>
        <c:ser>
          <c:idx val="2"/>
          <c:order val="2"/>
          <c:tx>
            <c:v>Max Devias</c:v>
          </c:tx>
          <c:spPr>
            <a:ln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prstDash val="solid"/>
              </a:ln>
            </c:spPr>
          </c:marker>
          <c:xVal>
            <c:numRef>
              <c:f>Calculation!$F$44</c:f>
              <c:numCache>
                <c:formatCode>d\-mmm\-yy\ hh:mm</c:formatCode>
                <c:ptCount val="1"/>
                <c:pt idx="0">
                  <c:v>43844.208333333336</c:v>
                </c:pt>
              </c:numCache>
            </c:numRef>
          </c:xVal>
          <c:yVal>
            <c:numRef>
              <c:f>Calculation!$G$44</c:f>
              <c:numCache>
                <c:formatCode>0.000</c:formatCode>
                <c:ptCount val="1"/>
                <c:pt idx="0">
                  <c:v>0.24792898919991924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A3-410E-AD91-4A0FF3799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70080"/>
        <c:axId val="67471616"/>
      </c:scatterChart>
      <c:valAx>
        <c:axId val="67470080"/>
        <c:scaling>
          <c:orientation val="minMax"/>
          <c:max val="43845"/>
          <c:min val="43831"/>
        </c:scaling>
        <c:delete val="0"/>
        <c:axPos val="b"/>
        <c:numFmt formatCode="d\-mmm\-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7471616"/>
        <c:crosses val="autoZero"/>
        <c:crossBetween val="midCat"/>
        <c:majorUnit val="1"/>
        <c:minorUnit val="1"/>
      </c:valAx>
      <c:valAx>
        <c:axId val="67471616"/>
        <c:scaling>
          <c:orientation val="minMax"/>
          <c:min val="-1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prstDash val="sysDash"/>
          </a:ln>
        </c:spPr>
        <c:crossAx val="67470080"/>
        <c:crosses val="autoZero"/>
        <c:crossBetween val="midCat"/>
      </c:valAx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25528621791091372"/>
          <c:y val="0.86678594495059846"/>
          <c:w val="0.57113420854168084"/>
          <c:h val="0.10529084388011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371476</xdr:colOff>
      <xdr:row>15</xdr:row>
      <xdr:rowOff>104775</xdr:rowOff>
    </xdr:from>
    <xdr:to>
      <xdr:col>10</xdr:col>
      <xdr:colOff>830581</xdr:colOff>
      <xdr:row>38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447675</xdr:colOff>
      <xdr:row>50</xdr:row>
      <xdr:rowOff>57150</xdr:rowOff>
    </xdr:from>
    <xdr:to>
      <xdr:col>11</xdr:col>
      <xdr:colOff>68580</xdr:colOff>
      <xdr:row>72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2"/>
  <sheetViews>
    <sheetView showGridLines="0" workbookViewId="0">
      <selection activeCell="F28" sqref="F28"/>
    </sheetView>
  </sheetViews>
  <sheetFormatPr defaultRowHeight="12.75" x14ac:dyDescent="0.2"/>
  <sheetData>
    <row r="1" spans="1:2" x14ac:dyDescent="0.2">
      <c r="A1" t="s">
        <v>0</v>
      </c>
    </row>
    <row r="2" spans="1:2" x14ac:dyDescent="0.2">
      <c r="B2" s="20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38"/>
  <sheetViews>
    <sheetView showGridLines="0" tabSelected="1" workbookViewId="0">
      <selection activeCell="M3" sqref="M3"/>
    </sheetView>
  </sheetViews>
  <sheetFormatPr defaultRowHeight="12.75" x14ac:dyDescent="0.2"/>
  <cols>
    <col min="2" max="2" width="9.85546875" customWidth="1"/>
  </cols>
  <sheetData>
    <row r="1" spans="1:26" ht="18" customHeight="1" x14ac:dyDescent="0.25">
      <c r="A1" s="24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 x14ac:dyDescent="0.2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</row>
    <row r="3" spans="1:26" x14ac:dyDescent="0.2">
      <c r="A3" s="81" t="s">
        <v>3</v>
      </c>
      <c r="B3" s="82"/>
      <c r="C3" s="82"/>
      <c r="D3" s="26" t="s">
        <v>4</v>
      </c>
      <c r="E3" s="25"/>
      <c r="F3" s="25"/>
      <c r="G3" s="25"/>
      <c r="H3" s="25"/>
      <c r="I3" s="27"/>
      <c r="J3" s="25"/>
      <c r="K3" s="25"/>
      <c r="L3" s="25"/>
      <c r="M3" s="25"/>
      <c r="N3" s="25"/>
      <c r="O3" s="25"/>
      <c r="P3" s="25"/>
      <c r="Q3" s="25"/>
      <c r="R3" s="25"/>
      <c r="S3" s="25"/>
      <c r="T3" s="81" t="s">
        <v>5</v>
      </c>
      <c r="U3" s="82"/>
      <c r="V3" s="82"/>
      <c r="W3" s="26" t="s">
        <v>4</v>
      </c>
      <c r="X3" s="25"/>
      <c r="Y3" s="25"/>
      <c r="Z3" s="25"/>
    </row>
    <row r="4" spans="1:26" x14ac:dyDescent="0.2">
      <c r="A4" s="81" t="s">
        <v>6</v>
      </c>
      <c r="B4" s="82"/>
      <c r="C4" s="82"/>
      <c r="D4" s="26" t="s">
        <v>7</v>
      </c>
      <c r="E4" s="25"/>
      <c r="F4" s="25"/>
      <c r="G4" s="25"/>
      <c r="H4" s="25"/>
      <c r="I4" s="27"/>
      <c r="J4" s="25"/>
      <c r="K4" s="25"/>
      <c r="L4" s="25"/>
      <c r="M4" s="25"/>
      <c r="N4" s="25"/>
      <c r="O4" s="25"/>
      <c r="P4" s="25"/>
      <c r="Q4" s="25"/>
      <c r="R4" s="25"/>
      <c r="S4" s="25"/>
      <c r="T4" s="81" t="s">
        <v>8</v>
      </c>
      <c r="U4" s="82"/>
      <c r="V4" s="82"/>
      <c r="W4" s="26" t="s">
        <v>9</v>
      </c>
      <c r="X4" s="25"/>
      <c r="Y4" s="25"/>
      <c r="Z4" s="25"/>
    </row>
    <row r="5" spans="1:26" x14ac:dyDescent="0.2">
      <c r="A5" s="81" t="s">
        <v>10</v>
      </c>
      <c r="B5" s="82"/>
      <c r="C5" s="82"/>
      <c r="D5" s="26" t="s">
        <v>7</v>
      </c>
      <c r="E5" s="25"/>
      <c r="F5" s="25"/>
      <c r="G5" s="25"/>
      <c r="H5" s="25"/>
      <c r="I5" s="27"/>
      <c r="J5" s="25"/>
      <c r="K5" s="25"/>
      <c r="L5" s="25"/>
      <c r="M5" s="25"/>
      <c r="N5" s="25"/>
      <c r="O5" s="25"/>
      <c r="P5" s="25"/>
      <c r="Q5" s="25"/>
      <c r="R5" s="25"/>
      <c r="S5" s="25"/>
      <c r="T5" s="81"/>
      <c r="U5" s="82"/>
      <c r="V5" s="82"/>
      <c r="W5" s="26"/>
      <c r="X5" s="25"/>
      <c r="Y5" s="25"/>
      <c r="Z5" s="25"/>
    </row>
    <row r="6" spans="1:26" x14ac:dyDescent="0.2">
      <c r="A6" s="81" t="s">
        <v>11</v>
      </c>
      <c r="B6" s="82"/>
      <c r="C6" s="82"/>
      <c r="D6" s="26" t="s">
        <v>4</v>
      </c>
      <c r="E6" s="25"/>
      <c r="F6" s="25"/>
      <c r="G6" s="25"/>
      <c r="H6" s="25"/>
      <c r="I6" s="27"/>
      <c r="J6" s="25"/>
      <c r="K6" s="25"/>
      <c r="L6" s="25"/>
      <c r="M6" s="25"/>
      <c r="N6" s="25"/>
      <c r="O6" s="25"/>
      <c r="P6" s="25"/>
      <c r="Q6" s="25"/>
      <c r="R6" s="25"/>
      <c r="S6" s="25"/>
      <c r="T6" s="81" t="s">
        <v>12</v>
      </c>
      <c r="U6" s="82"/>
      <c r="V6" s="82"/>
      <c r="W6" s="53" t="s">
        <v>7</v>
      </c>
      <c r="X6" s="25"/>
      <c r="Y6" s="25"/>
      <c r="Z6" s="25"/>
    </row>
    <row r="7" spans="1:26" x14ac:dyDescent="0.2">
      <c r="A7" s="28"/>
      <c r="B7" s="25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71" t="s">
        <v>13</v>
      </c>
      <c r="B8" s="71" t="s">
        <v>14</v>
      </c>
      <c r="C8" s="72" t="s">
        <v>15</v>
      </c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">
      <c r="A9" s="71" t="s">
        <v>16</v>
      </c>
      <c r="B9" s="73"/>
      <c r="C9" s="74">
        <f>TIME(0,0,0)</f>
        <v>0</v>
      </c>
      <c r="D9" s="74">
        <f t="shared" ref="D9:Z9" si="0">C9+TIME(1,0,0)</f>
        <v>4.1666666666666664E-2</v>
      </c>
      <c r="E9" s="74">
        <f t="shared" si="0"/>
        <v>8.3333333333333329E-2</v>
      </c>
      <c r="F9" s="74">
        <f t="shared" si="0"/>
        <v>0.125</v>
      </c>
      <c r="G9" s="74">
        <f t="shared" si="0"/>
        <v>0.16666666666666666</v>
      </c>
      <c r="H9" s="74">
        <f t="shared" si="0"/>
        <v>0.20833333333333331</v>
      </c>
      <c r="I9" s="74">
        <f t="shared" si="0"/>
        <v>0.24999999999999997</v>
      </c>
      <c r="J9" s="74">
        <f t="shared" si="0"/>
        <v>0.29166666666666663</v>
      </c>
      <c r="K9" s="74">
        <f t="shared" si="0"/>
        <v>0.33333333333333331</v>
      </c>
      <c r="L9" s="74">
        <f t="shared" si="0"/>
        <v>0.375</v>
      </c>
      <c r="M9" s="74">
        <f t="shared" si="0"/>
        <v>0.41666666666666669</v>
      </c>
      <c r="N9" s="74">
        <f t="shared" si="0"/>
        <v>0.45833333333333337</v>
      </c>
      <c r="O9" s="74">
        <f t="shared" si="0"/>
        <v>0.5</v>
      </c>
      <c r="P9" s="74">
        <f t="shared" si="0"/>
        <v>0.54166666666666663</v>
      </c>
      <c r="Q9" s="74">
        <f t="shared" si="0"/>
        <v>0.58333333333333326</v>
      </c>
      <c r="R9" s="74">
        <f t="shared" si="0"/>
        <v>0.62499999999999989</v>
      </c>
      <c r="S9" s="74">
        <f t="shared" si="0"/>
        <v>0.66666666666666652</v>
      </c>
      <c r="T9" s="74">
        <f t="shared" si="0"/>
        <v>0.70833333333333315</v>
      </c>
      <c r="U9" s="74">
        <f t="shared" si="0"/>
        <v>0.74999999999999978</v>
      </c>
      <c r="V9" s="74">
        <f t="shared" si="0"/>
        <v>0.79166666666666641</v>
      </c>
      <c r="W9" s="74">
        <f t="shared" si="0"/>
        <v>0.83333333333333304</v>
      </c>
      <c r="X9" s="74">
        <f t="shared" si="0"/>
        <v>0.87499999999999967</v>
      </c>
      <c r="Y9" s="74">
        <f t="shared" si="0"/>
        <v>0.9166666666666663</v>
      </c>
      <c r="Z9" s="74">
        <f t="shared" si="0"/>
        <v>0.95833333333333293</v>
      </c>
    </row>
    <row r="10" spans="1:26" x14ac:dyDescent="0.2">
      <c r="A10" s="75">
        <v>1</v>
      </c>
      <c r="B10" s="76">
        <v>43831</v>
      </c>
      <c r="C10" s="68">
        <v>0.20200000000000001</v>
      </c>
      <c r="D10" s="68">
        <v>0.19</v>
      </c>
      <c r="E10" s="68">
        <v>0.121</v>
      </c>
      <c r="F10" s="68">
        <v>1.4999999999999999E-2</v>
      </c>
      <c r="G10" s="68">
        <v>9.8000000000000004E-2</v>
      </c>
      <c r="H10" s="68">
        <v>0.185</v>
      </c>
      <c r="I10" s="68">
        <v>0.22</v>
      </c>
      <c r="J10" s="68">
        <v>0.191</v>
      </c>
      <c r="K10" s="68">
        <v>0.10299999999999999</v>
      </c>
      <c r="L10" s="68">
        <v>2.4E-2</v>
      </c>
      <c r="M10" s="68">
        <v>0.157</v>
      </c>
      <c r="N10" s="68">
        <v>0.26100000000000001</v>
      </c>
      <c r="O10" s="68">
        <v>0.308</v>
      </c>
      <c r="P10" s="68">
        <v>0.28299999999999997</v>
      </c>
      <c r="Q10" s="68">
        <v>0.189</v>
      </c>
      <c r="R10" s="68">
        <v>4.7E-2</v>
      </c>
      <c r="S10" s="68">
        <v>0.109</v>
      </c>
      <c r="T10" s="68">
        <v>0.24099999999999999</v>
      </c>
      <c r="U10" s="68">
        <v>0.315</v>
      </c>
      <c r="V10" s="68">
        <v>0.314</v>
      </c>
      <c r="W10" s="68">
        <v>0.23599999999999999</v>
      </c>
      <c r="X10" s="68">
        <v>0.10199999999999999</v>
      </c>
      <c r="Y10" s="68">
        <v>5.5E-2</v>
      </c>
      <c r="Z10" s="68">
        <v>0.19500000000000001</v>
      </c>
    </row>
    <row r="11" spans="1:26" x14ac:dyDescent="0.2">
      <c r="A11" s="75">
        <f>COUNT($A$10:A10)+1</f>
        <v>2</v>
      </c>
      <c r="B11" s="77">
        <f t="shared" ref="B11:B24" si="1">B10+1</f>
        <v>43832</v>
      </c>
      <c r="C11" s="68">
        <v>0.28399999999999997</v>
      </c>
      <c r="D11" s="68">
        <v>0.29799999999999999</v>
      </c>
      <c r="E11" s="68">
        <v>0.23400000000000001</v>
      </c>
      <c r="F11" s="68">
        <v>0.11</v>
      </c>
      <c r="G11" s="68">
        <v>4.2999999999999997E-2</v>
      </c>
      <c r="H11" s="68">
        <v>0.184</v>
      </c>
      <c r="I11" s="68">
        <v>0.27600000000000002</v>
      </c>
      <c r="J11" s="68">
        <v>0.29599999999999999</v>
      </c>
      <c r="K11" s="68">
        <v>0.23699999999999999</v>
      </c>
      <c r="L11" s="68">
        <v>0.115</v>
      </c>
      <c r="M11" s="68">
        <v>3.6999999999999998E-2</v>
      </c>
      <c r="N11" s="68">
        <v>0.18099999999999999</v>
      </c>
      <c r="O11" s="68">
        <v>0.27600000000000002</v>
      </c>
      <c r="P11" s="68">
        <v>0.29799999999999999</v>
      </c>
      <c r="Q11" s="68">
        <v>0.23799999999999999</v>
      </c>
      <c r="R11" s="68">
        <v>0.111</v>
      </c>
      <c r="S11" s="68">
        <v>4.9000000000000002E-2</v>
      </c>
      <c r="T11" s="68">
        <v>0.20300000000000001</v>
      </c>
      <c r="U11" s="68">
        <v>0.307</v>
      </c>
      <c r="V11" s="68">
        <v>0.33400000000000002</v>
      </c>
      <c r="W11" s="68">
        <v>0.27400000000000002</v>
      </c>
      <c r="X11" s="68">
        <v>0.13900000000000001</v>
      </c>
      <c r="Y11" s="68">
        <v>3.6999999999999998E-2</v>
      </c>
      <c r="Z11" s="68">
        <v>0.21299999999999999</v>
      </c>
    </row>
    <row r="12" spans="1:26" x14ac:dyDescent="0.2">
      <c r="A12" s="75">
        <f>COUNT($A$10:A11)+1</f>
        <v>3</v>
      </c>
      <c r="B12" s="77">
        <f t="shared" si="1"/>
        <v>43833</v>
      </c>
      <c r="C12" s="68">
        <v>0.34200000000000003</v>
      </c>
      <c r="D12" s="68">
        <v>0.39400000000000002</v>
      </c>
      <c r="E12" s="68">
        <v>0.35299999999999998</v>
      </c>
      <c r="F12" s="68">
        <v>0.22900000000000001</v>
      </c>
      <c r="G12" s="68">
        <v>5.2999999999999999E-2</v>
      </c>
      <c r="H12" s="68">
        <v>0.13200000000000001</v>
      </c>
      <c r="I12" s="68">
        <v>0.28100000000000003</v>
      </c>
      <c r="J12" s="68">
        <v>0.35699999999999998</v>
      </c>
      <c r="K12" s="68">
        <v>0.34399999999999997</v>
      </c>
      <c r="L12" s="68">
        <v>0.248</v>
      </c>
      <c r="M12" s="68">
        <v>9.6000000000000002E-2</v>
      </c>
      <c r="N12" s="68">
        <v>7.0000000000000007E-2</v>
      </c>
      <c r="O12" s="68">
        <v>0.20599999999999999</v>
      </c>
      <c r="P12" s="68">
        <v>0.27400000000000002</v>
      </c>
      <c r="Q12" s="68">
        <v>0.25700000000000001</v>
      </c>
      <c r="R12" s="68">
        <v>0.16</v>
      </c>
      <c r="S12" s="68">
        <v>8.0000000000000002E-3</v>
      </c>
      <c r="T12" s="68">
        <v>0.155</v>
      </c>
      <c r="U12" s="68">
        <v>0.28399999999999997</v>
      </c>
      <c r="V12" s="68">
        <v>0.34200000000000003</v>
      </c>
      <c r="W12" s="68">
        <v>0.308</v>
      </c>
      <c r="X12" s="68">
        <v>0.186</v>
      </c>
      <c r="Y12" s="68">
        <v>3.0000000000000001E-3</v>
      </c>
      <c r="Z12" s="68">
        <v>0.19800000000000001</v>
      </c>
    </row>
    <row r="13" spans="1:26" x14ac:dyDescent="0.2">
      <c r="A13" s="75">
        <f>COUNT($A$10:A12)+1</f>
        <v>4</v>
      </c>
      <c r="B13" s="77">
        <f t="shared" si="1"/>
        <v>43834</v>
      </c>
      <c r="C13" s="68">
        <v>0.36599999999999999</v>
      </c>
      <c r="D13" s="68">
        <v>0.46100000000000002</v>
      </c>
      <c r="E13" s="68">
        <v>0.45600000000000002</v>
      </c>
      <c r="F13" s="68">
        <v>0.35299999999999998</v>
      </c>
      <c r="G13" s="68">
        <v>0.17399999999999999</v>
      </c>
      <c r="H13" s="68">
        <v>3.7999999999999999E-2</v>
      </c>
      <c r="I13" s="68">
        <v>0.23200000000000001</v>
      </c>
      <c r="J13" s="68">
        <v>0.36499999999999999</v>
      </c>
      <c r="K13" s="68">
        <v>0.40699999999999997</v>
      </c>
      <c r="L13" s="68">
        <v>0.35399999999999998</v>
      </c>
      <c r="M13" s="68">
        <v>0.223</v>
      </c>
      <c r="N13" s="68">
        <v>5.2999999999999999E-2</v>
      </c>
      <c r="O13" s="68">
        <v>0.107</v>
      </c>
      <c r="P13" s="68">
        <v>0.216</v>
      </c>
      <c r="Q13" s="68">
        <v>0.24399999999999999</v>
      </c>
      <c r="R13" s="68">
        <v>0.185</v>
      </c>
      <c r="S13" s="68">
        <v>5.6000000000000001E-2</v>
      </c>
      <c r="T13" s="68">
        <v>0.104</v>
      </c>
      <c r="U13" s="68">
        <v>0.248</v>
      </c>
      <c r="V13" s="68">
        <v>0.33300000000000002</v>
      </c>
      <c r="W13" s="68">
        <v>0.33</v>
      </c>
      <c r="X13" s="68">
        <v>0.23100000000000001</v>
      </c>
      <c r="Y13" s="68">
        <v>5.7000000000000002E-2</v>
      </c>
      <c r="Z13" s="68">
        <v>0.154</v>
      </c>
    </row>
    <row r="14" spans="1:26" x14ac:dyDescent="0.2">
      <c r="A14" s="75">
        <f>COUNT($A$10:A13)+1</f>
        <v>5</v>
      </c>
      <c r="B14" s="77">
        <f t="shared" si="1"/>
        <v>43835</v>
      </c>
      <c r="C14" s="68">
        <v>0.35099999999999998</v>
      </c>
      <c r="D14" s="68">
        <v>0.48699999999999999</v>
      </c>
      <c r="E14" s="68">
        <v>0.52700000000000002</v>
      </c>
      <c r="F14" s="68">
        <v>0.46</v>
      </c>
      <c r="G14" s="68">
        <v>0.29899999999999999</v>
      </c>
      <c r="H14" s="68">
        <v>8.3000000000000004E-2</v>
      </c>
      <c r="I14" s="68">
        <v>0.14000000000000001</v>
      </c>
      <c r="J14" s="68">
        <v>0.32</v>
      </c>
      <c r="K14" s="68">
        <v>0.41699999999999998</v>
      </c>
      <c r="L14" s="68">
        <v>0.41599999999999998</v>
      </c>
      <c r="M14" s="68">
        <v>0.32300000000000001</v>
      </c>
      <c r="N14" s="68">
        <v>0.17100000000000001</v>
      </c>
      <c r="O14" s="68">
        <v>4.0000000000000001E-3</v>
      </c>
      <c r="P14" s="68">
        <v>0.13200000000000001</v>
      </c>
      <c r="Q14" s="68">
        <v>0.19900000000000001</v>
      </c>
      <c r="R14" s="68">
        <v>0.18099999999999999</v>
      </c>
      <c r="S14" s="68">
        <v>8.5000000000000006E-2</v>
      </c>
      <c r="T14" s="68">
        <v>5.7000000000000002E-2</v>
      </c>
      <c r="U14" s="68">
        <v>0.20399999999999999</v>
      </c>
      <c r="V14" s="68">
        <v>0.308</v>
      </c>
      <c r="W14" s="68">
        <v>0.33400000000000002</v>
      </c>
      <c r="X14" s="68">
        <v>0.26700000000000002</v>
      </c>
      <c r="Y14" s="68">
        <v>0.114</v>
      </c>
      <c r="Z14" s="68">
        <v>9.1999999999999998E-2</v>
      </c>
    </row>
    <row r="15" spans="1:26" x14ac:dyDescent="0.2">
      <c r="A15" s="75">
        <f>COUNT($A$10:A14)+1</f>
        <v>6</v>
      </c>
      <c r="B15" s="77">
        <f t="shared" si="1"/>
        <v>43836</v>
      </c>
      <c r="C15" s="68">
        <v>0.30499999999999999</v>
      </c>
      <c r="D15" s="68">
        <v>0.47399999999999998</v>
      </c>
      <c r="E15" s="68">
        <v>0.55700000000000005</v>
      </c>
      <c r="F15" s="68">
        <v>0.53400000000000003</v>
      </c>
      <c r="G15" s="68">
        <v>0.40799999999999997</v>
      </c>
      <c r="H15" s="68">
        <v>0.20799999999999999</v>
      </c>
      <c r="I15" s="68">
        <v>2.3E-2</v>
      </c>
      <c r="J15" s="68">
        <v>0.23200000000000001</v>
      </c>
      <c r="K15" s="68">
        <v>0.376</v>
      </c>
      <c r="L15" s="68">
        <v>0.42699999999999999</v>
      </c>
      <c r="M15" s="68">
        <v>0.38300000000000001</v>
      </c>
      <c r="N15" s="68">
        <v>0.26500000000000001</v>
      </c>
      <c r="O15" s="68">
        <v>0.11</v>
      </c>
      <c r="P15" s="68">
        <v>3.4000000000000002E-2</v>
      </c>
      <c r="Q15" s="68">
        <v>0.128</v>
      </c>
      <c r="R15" s="68">
        <v>0.14799999999999999</v>
      </c>
      <c r="S15" s="68">
        <v>8.8999999999999996E-2</v>
      </c>
      <c r="T15" s="68">
        <v>2.5999999999999999E-2</v>
      </c>
      <c r="U15" s="68">
        <v>0.16200000000000001</v>
      </c>
      <c r="V15" s="68">
        <v>0.27400000000000002</v>
      </c>
      <c r="W15" s="68">
        <v>0.32300000000000001</v>
      </c>
      <c r="X15" s="68">
        <v>0.28599999999999998</v>
      </c>
      <c r="Y15" s="68">
        <v>0.16200000000000001</v>
      </c>
      <c r="Z15" s="68">
        <v>2.7E-2</v>
      </c>
    </row>
    <row r="16" spans="1:26" x14ac:dyDescent="0.2">
      <c r="A16" s="75">
        <f>COUNT($A$10:A15)+1</f>
        <v>7</v>
      </c>
      <c r="B16" s="77">
        <f t="shared" si="1"/>
        <v>43837</v>
      </c>
      <c r="C16" s="68">
        <v>0.24</v>
      </c>
      <c r="D16" s="68">
        <v>0.42799999999999999</v>
      </c>
      <c r="E16" s="68">
        <v>0.54800000000000004</v>
      </c>
      <c r="F16" s="68">
        <v>0.56999999999999995</v>
      </c>
      <c r="G16" s="68">
        <v>0.48799999999999999</v>
      </c>
      <c r="H16" s="68">
        <v>0.32</v>
      </c>
      <c r="I16" s="68">
        <v>0.10199999999999999</v>
      </c>
      <c r="J16" s="68">
        <v>0.11700000000000001</v>
      </c>
      <c r="K16" s="68">
        <v>0.29299999999999998</v>
      </c>
      <c r="L16" s="68">
        <v>0.39</v>
      </c>
      <c r="M16" s="68">
        <v>0.39700000000000002</v>
      </c>
      <c r="N16" s="68">
        <v>0.32300000000000001</v>
      </c>
      <c r="O16" s="68">
        <v>0.19800000000000001</v>
      </c>
      <c r="P16" s="68">
        <v>6.2E-2</v>
      </c>
      <c r="Q16" s="68">
        <v>4.3999999999999997E-2</v>
      </c>
      <c r="R16" s="68">
        <v>0.09</v>
      </c>
      <c r="S16" s="68">
        <v>6.6000000000000003E-2</v>
      </c>
      <c r="T16" s="68">
        <v>1.7999999999999999E-2</v>
      </c>
      <c r="U16" s="68">
        <v>0.13300000000000001</v>
      </c>
      <c r="V16" s="68">
        <v>0.24099999999999999</v>
      </c>
      <c r="W16" s="68">
        <v>0.30299999999999999</v>
      </c>
      <c r="X16" s="68">
        <v>0.29099999999999998</v>
      </c>
      <c r="Y16" s="68">
        <v>0.19700000000000001</v>
      </c>
      <c r="Z16" s="68">
        <v>3.3000000000000002E-2</v>
      </c>
    </row>
    <row r="17" spans="1:26" x14ac:dyDescent="0.2">
      <c r="A17" s="75">
        <f>COUNT($A$10:A16)+1</f>
        <v>8</v>
      </c>
      <c r="B17" s="77">
        <f t="shared" si="1"/>
        <v>43838</v>
      </c>
      <c r="C17" s="68">
        <v>0.16800000000000001</v>
      </c>
      <c r="D17" s="68">
        <v>0.36299999999999999</v>
      </c>
      <c r="E17" s="68">
        <v>0.50900000000000001</v>
      </c>
      <c r="F17" s="68">
        <v>0.57199999999999995</v>
      </c>
      <c r="G17" s="68">
        <v>0.53600000000000003</v>
      </c>
      <c r="H17" s="68">
        <v>0.41</v>
      </c>
      <c r="I17" s="68">
        <v>0.221</v>
      </c>
      <c r="J17" s="68">
        <v>8.9999999999999993E-3</v>
      </c>
      <c r="K17" s="68">
        <v>0.18099999999999999</v>
      </c>
      <c r="L17" s="68">
        <v>0.313</v>
      </c>
      <c r="M17" s="68">
        <v>0.36599999999999999</v>
      </c>
      <c r="N17" s="68">
        <v>0.34100000000000003</v>
      </c>
      <c r="O17" s="68">
        <v>0.25600000000000001</v>
      </c>
      <c r="P17" s="68">
        <v>0.14399999999999999</v>
      </c>
      <c r="Q17" s="68">
        <v>4.2999999999999997E-2</v>
      </c>
      <c r="R17" s="68">
        <v>1.7999999999999999E-2</v>
      </c>
      <c r="S17" s="68">
        <v>2.1000000000000001E-2</v>
      </c>
      <c r="T17" s="68">
        <v>3.3000000000000002E-2</v>
      </c>
      <c r="U17" s="68">
        <v>0.123</v>
      </c>
      <c r="V17" s="68">
        <v>0.218</v>
      </c>
      <c r="W17" s="68">
        <v>0.28299999999999997</v>
      </c>
      <c r="X17" s="68">
        <v>0.28899999999999998</v>
      </c>
      <c r="Y17" s="68">
        <v>0.223</v>
      </c>
      <c r="Z17" s="68">
        <v>8.7999999999999995E-2</v>
      </c>
    </row>
    <row r="18" spans="1:26" x14ac:dyDescent="0.2">
      <c r="A18" s="75">
        <f>COUNT($A$10:A17)+1</f>
        <v>9</v>
      </c>
      <c r="B18" s="77">
        <f t="shared" si="1"/>
        <v>43839</v>
      </c>
      <c r="C18" s="68">
        <v>9.4E-2</v>
      </c>
      <c r="D18" s="68">
        <v>0.28499999999999998</v>
      </c>
      <c r="E18" s="68">
        <v>0.44600000000000001</v>
      </c>
      <c r="F18" s="68">
        <v>0.54200000000000004</v>
      </c>
      <c r="G18" s="68">
        <v>0.55200000000000005</v>
      </c>
      <c r="H18" s="68">
        <v>0.47399999999999998</v>
      </c>
      <c r="I18" s="68">
        <v>0.32600000000000001</v>
      </c>
      <c r="J18" s="68">
        <v>0.13800000000000001</v>
      </c>
      <c r="K18" s="68">
        <v>5.0999999999999997E-2</v>
      </c>
      <c r="L18" s="68">
        <v>0.20399999999999999</v>
      </c>
      <c r="M18" s="68">
        <v>0.29499999999999998</v>
      </c>
      <c r="N18" s="68">
        <v>0.318</v>
      </c>
      <c r="O18" s="68">
        <v>0.27900000000000003</v>
      </c>
      <c r="P18" s="68">
        <v>0.20300000000000001</v>
      </c>
      <c r="Q18" s="68">
        <v>0.12</v>
      </c>
      <c r="R18" s="68">
        <v>5.8000000000000003E-2</v>
      </c>
      <c r="S18" s="68">
        <v>3.6999999999999998E-2</v>
      </c>
      <c r="T18" s="68">
        <v>6.4000000000000001E-2</v>
      </c>
      <c r="U18" s="68">
        <v>0.127</v>
      </c>
      <c r="V18" s="68">
        <v>0.20399999999999999</v>
      </c>
      <c r="W18" s="68">
        <v>0.26500000000000001</v>
      </c>
      <c r="X18" s="68">
        <v>0.28399999999999997</v>
      </c>
      <c r="Y18" s="68">
        <v>0.24199999999999999</v>
      </c>
      <c r="Z18" s="68">
        <v>0.13700000000000001</v>
      </c>
    </row>
    <row r="19" spans="1:26" x14ac:dyDescent="0.2">
      <c r="A19" s="75">
        <f>COUNT($A$10:A18)+1</f>
        <v>10</v>
      </c>
      <c r="B19" s="77">
        <f t="shared" si="1"/>
        <v>43840</v>
      </c>
      <c r="C19" s="68">
        <v>1.7000000000000001E-2</v>
      </c>
      <c r="D19" s="68">
        <v>0.193</v>
      </c>
      <c r="E19" s="68">
        <v>0.35899999999999999</v>
      </c>
      <c r="F19" s="68">
        <v>0.48</v>
      </c>
      <c r="G19" s="68">
        <v>0.53200000000000003</v>
      </c>
      <c r="H19" s="68">
        <v>0.50600000000000001</v>
      </c>
      <c r="I19" s="68">
        <v>0.40699999999999997</v>
      </c>
      <c r="J19" s="68">
        <v>0.25700000000000001</v>
      </c>
      <c r="K19" s="68">
        <v>8.6999999999999994E-2</v>
      </c>
      <c r="L19" s="68">
        <v>7.0000000000000007E-2</v>
      </c>
      <c r="M19" s="68">
        <v>0.189</v>
      </c>
      <c r="N19" s="68">
        <v>0.254</v>
      </c>
      <c r="O19" s="68">
        <v>0.26400000000000001</v>
      </c>
      <c r="P19" s="68">
        <v>0.23100000000000001</v>
      </c>
      <c r="Q19" s="68">
        <v>0.17699999999999999</v>
      </c>
      <c r="R19" s="68">
        <v>0.126</v>
      </c>
      <c r="S19" s="68">
        <v>9.8000000000000004E-2</v>
      </c>
      <c r="T19" s="68">
        <v>0.10299999999999999</v>
      </c>
      <c r="U19" s="68">
        <v>0.13900000000000001</v>
      </c>
      <c r="V19" s="68">
        <v>0.193</v>
      </c>
      <c r="W19" s="68">
        <v>0.24299999999999999</v>
      </c>
      <c r="X19" s="68">
        <v>0.26800000000000002</v>
      </c>
      <c r="Y19" s="68">
        <v>0.249</v>
      </c>
      <c r="Z19" s="68">
        <v>0.17799999999999999</v>
      </c>
    </row>
    <row r="20" spans="1:26" x14ac:dyDescent="0.2">
      <c r="A20" s="75">
        <f>COUNT($A$10:A19)+1</f>
        <v>11</v>
      </c>
      <c r="B20" s="77">
        <f t="shared" si="1"/>
        <v>43841</v>
      </c>
      <c r="C20" s="68">
        <v>0.06</v>
      </c>
      <c r="D20" s="68">
        <v>0.09</v>
      </c>
      <c r="E20" s="68">
        <v>0.245</v>
      </c>
      <c r="F20" s="68">
        <v>0.378</v>
      </c>
      <c r="G20" s="68">
        <v>0.46500000000000002</v>
      </c>
      <c r="H20" s="68">
        <v>0.48899999999999999</v>
      </c>
      <c r="I20" s="68">
        <v>0.44800000000000001</v>
      </c>
      <c r="J20" s="68">
        <v>0.35199999999999998</v>
      </c>
      <c r="K20" s="68">
        <v>0.219</v>
      </c>
      <c r="L20" s="68">
        <v>7.4999999999999997E-2</v>
      </c>
      <c r="M20" s="68">
        <v>5.5E-2</v>
      </c>
      <c r="N20" s="68">
        <v>0.153</v>
      </c>
      <c r="O20" s="68">
        <v>0.20899999999999999</v>
      </c>
      <c r="P20" s="68">
        <v>0.224</v>
      </c>
      <c r="Q20" s="68">
        <v>0.20899999999999999</v>
      </c>
      <c r="R20" s="68">
        <v>0.18</v>
      </c>
      <c r="S20" s="68">
        <v>0.153</v>
      </c>
      <c r="T20" s="68">
        <v>0.14099999999999999</v>
      </c>
      <c r="U20" s="68">
        <v>0.15</v>
      </c>
      <c r="V20" s="68">
        <v>0.17499999999999999</v>
      </c>
      <c r="W20" s="68">
        <v>0.20699999999999999</v>
      </c>
      <c r="X20" s="68">
        <v>0.23</v>
      </c>
      <c r="Y20" s="68">
        <v>0.22900000000000001</v>
      </c>
      <c r="Z20" s="68">
        <v>0.19400000000000001</v>
      </c>
    </row>
    <row r="21" spans="1:26" x14ac:dyDescent="0.2">
      <c r="A21" s="75">
        <f>COUNT($A$10:A20)+1</f>
        <v>12</v>
      </c>
      <c r="B21" s="77">
        <f t="shared" si="1"/>
        <v>43842</v>
      </c>
      <c r="C21" s="68">
        <v>0.12</v>
      </c>
      <c r="D21" s="68">
        <v>1.4E-2</v>
      </c>
      <c r="E21" s="68">
        <v>0.111</v>
      </c>
      <c r="F21" s="68">
        <v>0.23599999999999999</v>
      </c>
      <c r="G21" s="68">
        <v>0.34100000000000003</v>
      </c>
      <c r="H21" s="68">
        <v>0.40799999999999997</v>
      </c>
      <c r="I21" s="68">
        <v>0.42599999999999999</v>
      </c>
      <c r="J21" s="68">
        <v>0.39400000000000002</v>
      </c>
      <c r="K21" s="68">
        <v>0.317</v>
      </c>
      <c r="L21" s="68">
        <v>0.21</v>
      </c>
      <c r="M21" s="68">
        <v>9.0999999999999998E-2</v>
      </c>
      <c r="N21" s="68">
        <v>2.3E-2</v>
      </c>
      <c r="O21" s="68">
        <v>0.11600000000000001</v>
      </c>
      <c r="P21" s="68">
        <v>0.17899999999999999</v>
      </c>
      <c r="Q21" s="68">
        <v>0.21099999999999999</v>
      </c>
      <c r="R21" s="68">
        <v>0.214</v>
      </c>
      <c r="S21" s="68">
        <v>0.2</v>
      </c>
      <c r="T21" s="68">
        <v>0.17799999999999999</v>
      </c>
      <c r="U21" s="68">
        <v>0.159</v>
      </c>
      <c r="V21" s="68">
        <v>0.14899999999999999</v>
      </c>
      <c r="W21" s="68">
        <v>0.15</v>
      </c>
      <c r="X21" s="68">
        <v>0.157</v>
      </c>
      <c r="Y21" s="68">
        <v>0.16300000000000001</v>
      </c>
      <c r="Z21" s="68">
        <v>0.158</v>
      </c>
    </row>
    <row r="22" spans="1:26" x14ac:dyDescent="0.2">
      <c r="A22" s="75">
        <f>COUNT($A$10:A21)+1</f>
        <v>13</v>
      </c>
      <c r="B22" s="77">
        <f t="shared" si="1"/>
        <v>43843</v>
      </c>
      <c r="C22" s="68">
        <v>0.13500000000000001</v>
      </c>
      <c r="D22" s="68">
        <v>8.7999999999999995E-2</v>
      </c>
      <c r="E22" s="68">
        <v>1.7999999999999999E-2</v>
      </c>
      <c r="F22" s="68">
        <v>7.0999999999999994E-2</v>
      </c>
      <c r="G22" s="68">
        <v>0.16600000000000001</v>
      </c>
      <c r="H22" s="68">
        <v>0.255</v>
      </c>
      <c r="I22" s="68">
        <v>0.32200000000000001</v>
      </c>
      <c r="J22" s="68">
        <v>0.35699999999999998</v>
      </c>
      <c r="K22" s="68">
        <v>0.35</v>
      </c>
      <c r="L22" s="68">
        <v>0.30299999999999999</v>
      </c>
      <c r="M22" s="68">
        <v>0.221</v>
      </c>
      <c r="N22" s="68">
        <v>0.115</v>
      </c>
      <c r="O22" s="68">
        <v>3.0000000000000001E-3</v>
      </c>
      <c r="P22" s="68">
        <v>0.1</v>
      </c>
      <c r="Q22" s="68">
        <v>0.18</v>
      </c>
      <c r="R22" s="68">
        <v>0.22600000000000001</v>
      </c>
      <c r="S22" s="68">
        <v>0.23699999999999999</v>
      </c>
      <c r="T22" s="68">
        <v>0.217</v>
      </c>
      <c r="U22" s="68">
        <v>0.17499999999999999</v>
      </c>
      <c r="V22" s="68">
        <v>0.126</v>
      </c>
      <c r="W22" s="68">
        <v>8.2000000000000003E-2</v>
      </c>
      <c r="X22" s="68">
        <v>5.2999999999999999E-2</v>
      </c>
      <c r="Y22" s="68">
        <v>4.4999999999999998E-2</v>
      </c>
      <c r="Z22" s="68">
        <v>5.5E-2</v>
      </c>
    </row>
    <row r="23" spans="1:26" x14ac:dyDescent="0.2">
      <c r="A23" s="75">
        <f>COUNT($A$10:A22)+1</f>
        <v>14</v>
      </c>
      <c r="B23" s="77">
        <f t="shared" si="1"/>
        <v>43844</v>
      </c>
      <c r="C23" s="68">
        <v>7.4999999999999997E-2</v>
      </c>
      <c r="D23" s="68">
        <v>9.2999999999999999E-2</v>
      </c>
      <c r="E23" s="68">
        <v>9.7000000000000003E-2</v>
      </c>
      <c r="F23" s="68">
        <v>7.5999999999999998E-2</v>
      </c>
      <c r="G23" s="68">
        <v>2.7E-2</v>
      </c>
      <c r="H23" s="68">
        <v>4.8000000000000001E-2</v>
      </c>
      <c r="I23" s="68">
        <v>0.13800000000000001</v>
      </c>
      <c r="J23" s="68">
        <v>0.22500000000000001</v>
      </c>
      <c r="K23" s="68">
        <v>0.28999999999999998</v>
      </c>
      <c r="L23" s="68">
        <v>0.31900000000000001</v>
      </c>
      <c r="M23" s="68">
        <v>0.3</v>
      </c>
      <c r="N23" s="68">
        <v>0.23300000000000001</v>
      </c>
      <c r="O23" s="68">
        <v>0.128</v>
      </c>
      <c r="P23" s="68">
        <v>3.0000000000000001E-3</v>
      </c>
      <c r="Q23" s="68">
        <v>0.11799999999999999</v>
      </c>
      <c r="R23" s="68">
        <v>0.21199999999999999</v>
      </c>
      <c r="S23" s="68">
        <v>0.26200000000000001</v>
      </c>
      <c r="T23" s="68">
        <v>0.26</v>
      </c>
      <c r="U23" s="68">
        <v>0.20899999999999999</v>
      </c>
      <c r="V23" s="68">
        <v>0.124</v>
      </c>
      <c r="W23" s="68">
        <v>2.8000000000000001E-2</v>
      </c>
      <c r="X23" s="68">
        <v>5.6000000000000001E-2</v>
      </c>
      <c r="Y23" s="68">
        <v>0.106</v>
      </c>
      <c r="Z23" s="68">
        <v>0.111</v>
      </c>
    </row>
    <row r="24" spans="1:26" x14ac:dyDescent="0.2">
      <c r="A24" s="75">
        <f>COUNT($A$10:A23)+1</f>
        <v>15</v>
      </c>
      <c r="B24" s="77">
        <f t="shared" si="1"/>
        <v>43845</v>
      </c>
      <c r="C24" s="68">
        <v>7.1999999999999995E-2</v>
      </c>
      <c r="D24" s="68">
        <v>0</v>
      </c>
      <c r="E24" s="68">
        <v>8.2000000000000003E-2</v>
      </c>
      <c r="F24" s="68">
        <v>0.15</v>
      </c>
      <c r="G24" s="68">
        <v>0.182</v>
      </c>
      <c r="H24" s="68">
        <v>0.16300000000000001</v>
      </c>
      <c r="I24" s="68">
        <v>9.4E-2</v>
      </c>
      <c r="J24" s="68">
        <v>1.2999999999999999E-2</v>
      </c>
      <c r="K24" s="68">
        <v>0.13200000000000001</v>
      </c>
      <c r="L24" s="68">
        <v>0.23499999999999999</v>
      </c>
      <c r="M24" s="68">
        <v>0.29499999999999998</v>
      </c>
      <c r="N24" s="68">
        <v>0.29399999999999998</v>
      </c>
      <c r="O24" s="68">
        <v>0.22900000000000001</v>
      </c>
      <c r="P24" s="68">
        <v>0.111</v>
      </c>
      <c r="Q24" s="68">
        <v>3.3000000000000002E-2</v>
      </c>
      <c r="R24" s="68">
        <v>0.17100000000000001</v>
      </c>
      <c r="S24" s="68">
        <v>0.26900000000000002</v>
      </c>
      <c r="T24" s="68">
        <v>0.30299999999999999</v>
      </c>
      <c r="U24" s="68">
        <v>0.26400000000000001</v>
      </c>
      <c r="V24" s="68">
        <v>0.161</v>
      </c>
      <c r="W24" s="68">
        <v>1.7000000000000001E-2</v>
      </c>
      <c r="X24" s="68">
        <v>0.13100000000000001</v>
      </c>
      <c r="Y24" s="68">
        <v>0.247</v>
      </c>
      <c r="Z24" s="68">
        <v>0.30199999999999999</v>
      </c>
    </row>
    <row r="25" spans="1:26" x14ac:dyDescent="0.2">
      <c r="A25" s="30"/>
      <c r="B25" s="70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4"/>
    </row>
    <row r="26" spans="1:26" x14ac:dyDescent="0.2">
      <c r="A26" s="31"/>
      <c r="B26" s="32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4"/>
    </row>
    <row r="27" spans="1:26" x14ac:dyDescent="0.2">
      <c r="A27" s="31"/>
      <c r="B27" s="32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4"/>
    </row>
    <row r="28" spans="1:26" x14ac:dyDescent="0.2">
      <c r="A28" s="31"/>
      <c r="B28" s="32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4"/>
    </row>
    <row r="29" spans="1:26" x14ac:dyDescent="0.2">
      <c r="A29" s="31"/>
      <c r="B29" s="32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4"/>
    </row>
    <row r="30" spans="1:26" x14ac:dyDescent="0.2">
      <c r="A30" s="31"/>
      <c r="B30" s="32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4"/>
    </row>
    <row r="31" spans="1:26" x14ac:dyDescent="0.2">
      <c r="A31" s="31"/>
      <c r="B31" s="32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4"/>
    </row>
    <row r="32" spans="1:26" x14ac:dyDescent="0.2">
      <c r="A32" s="31"/>
      <c r="B32" s="32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4"/>
    </row>
    <row r="33" spans="1:26" x14ac:dyDescent="0.2">
      <c r="A33" s="31"/>
      <c r="B33" s="32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4"/>
    </row>
    <row r="34" spans="1:26" x14ac:dyDescent="0.2">
      <c r="A34" s="31"/>
      <c r="B34" s="32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4"/>
    </row>
    <row r="35" spans="1:26" x14ac:dyDescent="0.2">
      <c r="A35" s="31"/>
      <c r="B35" s="32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4"/>
    </row>
    <row r="36" spans="1:26" x14ac:dyDescent="0.2">
      <c r="A36" s="31"/>
      <c r="B36" s="32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4"/>
    </row>
    <row r="37" spans="1:26" x14ac:dyDescent="0.2">
      <c r="A37" s="31"/>
      <c r="B37" s="32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4"/>
    </row>
    <row r="38" spans="1:26" x14ac:dyDescent="0.2">
      <c r="A38" s="31"/>
      <c r="B38" s="32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4"/>
    </row>
  </sheetData>
  <mergeCells count="8">
    <mergeCell ref="A6:C6"/>
    <mergeCell ref="T6:V6"/>
    <mergeCell ref="A3:C3"/>
    <mergeCell ref="T3:V3"/>
    <mergeCell ref="A4:C4"/>
    <mergeCell ref="T4:V4"/>
    <mergeCell ref="A5:C5"/>
    <mergeCell ref="T5:V5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363"/>
  <sheetViews>
    <sheetView showGridLines="0" topLeftCell="A30" zoomScaleNormal="100" workbookViewId="0">
      <selection activeCell="I43" sqref="I43"/>
    </sheetView>
  </sheetViews>
  <sheetFormatPr defaultRowHeight="12.75" x14ac:dyDescent="0.2"/>
  <cols>
    <col min="2" max="2" width="5.28515625" customWidth="1"/>
    <col min="3" max="3" width="18.7109375" customWidth="1"/>
    <col min="4" max="4" width="15.7109375" customWidth="1"/>
    <col min="5" max="5" width="11.42578125" customWidth="1"/>
    <col min="6" max="6" width="15" customWidth="1"/>
    <col min="7" max="7" width="11" customWidth="1"/>
    <col min="8" max="9" width="9" bestFit="1" customWidth="1"/>
    <col min="10" max="10" width="14.7109375" customWidth="1"/>
    <col min="11" max="11" width="12.5703125" customWidth="1"/>
    <col min="13" max="13" width="15" style="51" bestFit="1" customWidth="1"/>
    <col min="14" max="14" width="11" bestFit="1" customWidth="1"/>
    <col min="15" max="15" width="12" bestFit="1" customWidth="1"/>
  </cols>
  <sheetData>
    <row r="1" spans="1:18" ht="18.75" customHeight="1" thickBot="1" x14ac:dyDescent="0.3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  <c r="M1" s="54">
        <v>15</v>
      </c>
    </row>
    <row r="2" spans="1:18" ht="15.6" customHeight="1" x14ac:dyDescent="0.2">
      <c r="A2" s="2"/>
      <c r="B2" s="88" t="s">
        <v>18</v>
      </c>
      <c r="C2" s="90" t="s">
        <v>19</v>
      </c>
      <c r="D2" s="90" t="s">
        <v>20</v>
      </c>
      <c r="E2" s="90" t="s">
        <v>21</v>
      </c>
      <c r="F2" s="92" t="s">
        <v>22</v>
      </c>
      <c r="G2" s="93" t="s">
        <v>23</v>
      </c>
      <c r="H2" s="38" t="s">
        <v>24</v>
      </c>
      <c r="I2" s="38" t="s">
        <v>25</v>
      </c>
      <c r="J2" s="38" t="s">
        <v>26</v>
      </c>
      <c r="K2" s="95" t="s">
        <v>27</v>
      </c>
      <c r="M2" s="51" t="s">
        <v>28</v>
      </c>
      <c r="N2" s="86" t="s">
        <v>29</v>
      </c>
      <c r="O2" s="86" t="s">
        <v>30</v>
      </c>
      <c r="P2" s="86" t="s">
        <v>31</v>
      </c>
      <c r="Q2" s="94" t="s">
        <v>32</v>
      </c>
    </row>
    <row r="3" spans="1:18" ht="13.5" customHeight="1" thickBot="1" x14ac:dyDescent="0.25">
      <c r="A3" s="2"/>
      <c r="B3" s="89"/>
      <c r="C3" s="91"/>
      <c r="D3" s="91"/>
      <c r="E3" s="91"/>
      <c r="F3" s="91"/>
      <c r="G3" s="91"/>
      <c r="H3" s="39"/>
      <c r="I3" s="40"/>
      <c r="J3" s="41" t="s">
        <v>33</v>
      </c>
      <c r="K3" s="96"/>
      <c r="N3" s="87"/>
      <c r="O3" s="87"/>
      <c r="P3" s="87"/>
      <c r="Q3" s="87"/>
    </row>
    <row r="4" spans="1:18" ht="23.45" customHeight="1" thickTop="1" x14ac:dyDescent="0.2">
      <c r="A4" s="2"/>
      <c r="B4" s="3">
        <v>0</v>
      </c>
      <c r="C4" s="4" t="s">
        <v>34</v>
      </c>
      <c r="D4" s="5" t="s">
        <v>35</v>
      </c>
      <c r="E4" s="6"/>
      <c r="F4" s="21">
        <v>0</v>
      </c>
      <c r="G4" s="17">
        <v>0</v>
      </c>
      <c r="H4" s="45"/>
      <c r="I4" s="45"/>
      <c r="J4" s="46"/>
      <c r="K4" s="42">
        <v>0.21142364514928993</v>
      </c>
      <c r="M4" s="52">
        <v>43831</v>
      </c>
      <c r="N4">
        <v>0.20200000000000001</v>
      </c>
      <c r="O4">
        <v>0.30492405268355033</v>
      </c>
      <c r="P4">
        <v>0.10292405268355032</v>
      </c>
      <c r="Q4">
        <v>1</v>
      </c>
      <c r="R4">
        <f>AVERAGE(_chartCalculations)</f>
        <v>0.21200555555555564</v>
      </c>
    </row>
    <row r="5" spans="1:18" ht="21" customHeight="1" x14ac:dyDescent="0.2">
      <c r="A5" s="2"/>
      <c r="B5" s="7">
        <v>1</v>
      </c>
      <c r="C5" s="8" t="s">
        <v>36</v>
      </c>
      <c r="D5" s="35" t="s">
        <v>37</v>
      </c>
      <c r="E5" s="83" t="s">
        <v>38</v>
      </c>
      <c r="F5" s="22">
        <v>12.4206</v>
      </c>
      <c r="G5" s="18">
        <f t="shared" ref="G5:G13" si="0">(2*PI())/F5</f>
        <v>0.50586809873754779</v>
      </c>
      <c r="H5" s="47">
        <v>2.9203050289013363E-2</v>
      </c>
      <c r="I5" s="47">
        <v>2.0277807201372578E-3</v>
      </c>
      <c r="J5" s="48">
        <v>3.9720880828153238</v>
      </c>
      <c r="K5" s="43">
        <v>2.9273367432388162E-2</v>
      </c>
      <c r="M5" s="52">
        <v>43831.041666666664</v>
      </c>
      <c r="N5">
        <v>0.19</v>
      </c>
      <c r="O5">
        <v>0.23467643868657784</v>
      </c>
      <c r="P5">
        <v>4.4676438686577835E-2</v>
      </c>
      <c r="Q5">
        <v>2</v>
      </c>
    </row>
    <row r="6" spans="1:18" ht="27" customHeight="1" x14ac:dyDescent="0.2">
      <c r="A6" s="2"/>
      <c r="B6" s="7">
        <v>2</v>
      </c>
      <c r="C6" s="8" t="s">
        <v>39</v>
      </c>
      <c r="D6" s="35" t="s">
        <v>40</v>
      </c>
      <c r="E6" s="84"/>
      <c r="F6" s="22">
        <v>12</v>
      </c>
      <c r="G6" s="18">
        <f t="shared" si="0"/>
        <v>0.52359877559829882</v>
      </c>
      <c r="H6" s="47">
        <v>4.832036688646859E-2</v>
      </c>
      <c r="I6" s="47">
        <v>-0.1534939943259625</v>
      </c>
      <c r="J6" s="48">
        <v>287.47415733379762</v>
      </c>
      <c r="K6" s="43">
        <v>0.16092005515218274</v>
      </c>
      <c r="M6" s="52">
        <v>43831.083333333336</v>
      </c>
      <c r="N6">
        <v>0.121</v>
      </c>
      <c r="O6">
        <v>0.15309282987842601</v>
      </c>
      <c r="P6">
        <v>3.2092829878426016E-2</v>
      </c>
      <c r="Q6">
        <v>3</v>
      </c>
    </row>
    <row r="7" spans="1:18" ht="49.9" customHeight="1" x14ac:dyDescent="0.2">
      <c r="A7" s="2"/>
      <c r="B7" s="7">
        <v>3</v>
      </c>
      <c r="C7" s="8" t="s">
        <v>41</v>
      </c>
      <c r="D7" s="35" t="s">
        <v>42</v>
      </c>
      <c r="E7" s="84"/>
      <c r="F7" s="22">
        <v>12.658200000000001</v>
      </c>
      <c r="G7" s="18">
        <f t="shared" si="0"/>
        <v>0.49637273128719611</v>
      </c>
      <c r="H7" s="47">
        <v>-2.4285785092021995E-2</v>
      </c>
      <c r="I7" s="47">
        <v>-3.0636374909433422E-2</v>
      </c>
      <c r="J7" s="48">
        <v>231.59575774931099</v>
      </c>
      <c r="K7" s="43">
        <v>3.9094588182090363E-2</v>
      </c>
      <c r="M7" s="52">
        <v>43831.125</v>
      </c>
      <c r="N7">
        <v>1.4999999999999999E-2</v>
      </c>
      <c r="O7">
        <v>0.13786086826644728</v>
      </c>
      <c r="P7">
        <v>0.12286086826644728</v>
      </c>
      <c r="Q7">
        <v>4</v>
      </c>
    </row>
    <row r="8" spans="1:18" ht="49.15" customHeight="1" x14ac:dyDescent="0.2">
      <c r="A8" s="2"/>
      <c r="B8" s="7">
        <v>4</v>
      </c>
      <c r="C8" s="8" t="s">
        <v>43</v>
      </c>
      <c r="D8" s="35" t="s">
        <v>44</v>
      </c>
      <c r="E8" s="85"/>
      <c r="F8" s="22">
        <v>11.9673</v>
      </c>
      <c r="G8" s="18">
        <f t="shared" si="0"/>
        <v>0.52502948093384361</v>
      </c>
      <c r="H8" s="47">
        <v>-1.8248659166267996E-2</v>
      </c>
      <c r="I8" s="47">
        <v>0.16376432086509146</v>
      </c>
      <c r="J8" s="48">
        <v>96.358377823063378</v>
      </c>
      <c r="K8" s="43">
        <v>0.16477793040869049</v>
      </c>
      <c r="M8" s="52">
        <v>43831.166666666664</v>
      </c>
      <c r="N8">
        <v>9.8000000000000004E-2</v>
      </c>
      <c r="O8">
        <v>0.2004758736951231</v>
      </c>
      <c r="P8">
        <v>0.10247587369512309</v>
      </c>
      <c r="Q8">
        <v>5</v>
      </c>
    </row>
    <row r="9" spans="1:18" ht="26.45" customHeight="1" x14ac:dyDescent="0.2">
      <c r="A9" s="2"/>
      <c r="B9" s="7">
        <v>5</v>
      </c>
      <c r="C9" s="8" t="s">
        <v>45</v>
      </c>
      <c r="D9" s="35" t="s">
        <v>46</v>
      </c>
      <c r="E9" s="83" t="s">
        <v>47</v>
      </c>
      <c r="F9" s="22">
        <v>23.9346</v>
      </c>
      <c r="G9" s="18">
        <f t="shared" si="0"/>
        <v>0.2625147404669218</v>
      </c>
      <c r="H9" s="47">
        <v>7.1081944400945382E-2</v>
      </c>
      <c r="I9" s="47">
        <v>-7.3172312378446749E-2</v>
      </c>
      <c r="J9" s="48">
        <v>314.1697930915762</v>
      </c>
      <c r="K9" s="43">
        <v>0.10201387218720835</v>
      </c>
      <c r="M9" s="52">
        <v>43831.208333333336</v>
      </c>
      <c r="N9">
        <v>0.185</v>
      </c>
      <c r="O9">
        <v>0.27688038539327198</v>
      </c>
      <c r="P9">
        <v>9.1880385393271979E-2</v>
      </c>
      <c r="Q9">
        <v>6</v>
      </c>
    </row>
    <row r="10" spans="1:18" ht="28.9" customHeight="1" x14ac:dyDescent="0.2">
      <c r="A10" s="2"/>
      <c r="B10" s="7">
        <v>6</v>
      </c>
      <c r="C10" s="8" t="s">
        <v>36</v>
      </c>
      <c r="D10" s="35" t="s">
        <v>48</v>
      </c>
      <c r="E10" s="84"/>
      <c r="F10" s="22">
        <v>25.819400000000002</v>
      </c>
      <c r="G10" s="18">
        <f t="shared" si="0"/>
        <v>0.24335132912382107</v>
      </c>
      <c r="H10" s="47">
        <v>-3.0857058596267167E-2</v>
      </c>
      <c r="I10" s="47">
        <v>5.6134087099963606E-2</v>
      </c>
      <c r="J10" s="48">
        <v>118.79771364179301</v>
      </c>
      <c r="K10" s="43">
        <v>6.4056176905586293E-2</v>
      </c>
      <c r="M10" s="52">
        <v>43831.25</v>
      </c>
      <c r="N10">
        <v>0.22</v>
      </c>
      <c r="O10">
        <v>0.290731419215155</v>
      </c>
      <c r="P10">
        <v>7.0731419215154995E-2</v>
      </c>
      <c r="Q10">
        <v>7</v>
      </c>
    </row>
    <row r="11" spans="1:18" ht="28.9" customHeight="1" x14ac:dyDescent="0.2">
      <c r="A11" s="2"/>
      <c r="B11" s="7">
        <v>7</v>
      </c>
      <c r="C11" s="8" t="s">
        <v>39</v>
      </c>
      <c r="D11" s="35" t="s">
        <v>49</v>
      </c>
      <c r="E11" s="85"/>
      <c r="F11" s="22">
        <v>24.065799999999999</v>
      </c>
      <c r="G11" s="18">
        <f t="shared" si="0"/>
        <v>0.26108358364066792</v>
      </c>
      <c r="H11" s="47">
        <v>-6.9903755349734059E-2</v>
      </c>
      <c r="I11" s="47">
        <v>-8.8077524116259836E-3</v>
      </c>
      <c r="J11" s="48">
        <v>187.18132625957213</v>
      </c>
      <c r="K11" s="43">
        <v>7.0456451191782121E-2</v>
      </c>
      <c r="M11" s="52">
        <v>43831.291666666664</v>
      </c>
      <c r="N11">
        <v>0.191</v>
      </c>
      <c r="O11">
        <v>0.22855836645048744</v>
      </c>
      <c r="P11">
        <v>3.7558366450487435E-2</v>
      </c>
      <c r="Q11">
        <v>8</v>
      </c>
    </row>
    <row r="12" spans="1:18" ht="31.9" customHeight="1" x14ac:dyDescent="0.2">
      <c r="A12" s="2"/>
      <c r="B12" s="7">
        <v>8</v>
      </c>
      <c r="C12" s="8" t="s">
        <v>36</v>
      </c>
      <c r="D12" s="35" t="s">
        <v>50</v>
      </c>
      <c r="E12" s="83" t="s">
        <v>51</v>
      </c>
      <c r="F12" s="22">
        <v>6.2103000000000002</v>
      </c>
      <c r="G12" s="18">
        <f t="shared" si="0"/>
        <v>1.0117361974750956</v>
      </c>
      <c r="H12" s="47">
        <v>4.9594967620889226E-2</v>
      </c>
      <c r="I12" s="47">
        <v>1.8362549789493636E-2</v>
      </c>
      <c r="J12" s="48">
        <v>20.31708504571592</v>
      </c>
      <c r="K12" s="43">
        <v>5.2885196871040228E-2</v>
      </c>
      <c r="M12" s="52">
        <v>43831.333333333336</v>
      </c>
      <c r="N12">
        <v>0.10299999999999999</v>
      </c>
      <c r="O12">
        <v>0.15399430366406733</v>
      </c>
      <c r="P12">
        <v>5.0994303664067334E-2</v>
      </c>
      <c r="Q12">
        <v>9</v>
      </c>
    </row>
    <row r="13" spans="1:18" ht="22.15" customHeight="1" thickBot="1" x14ac:dyDescent="0.25">
      <c r="A13" s="2"/>
      <c r="B13" s="9">
        <v>9</v>
      </c>
      <c r="C13" s="10" t="s">
        <v>45</v>
      </c>
      <c r="D13" s="36" t="s">
        <v>52</v>
      </c>
      <c r="E13" s="85"/>
      <c r="F13" s="23">
        <v>6.1032999999999999</v>
      </c>
      <c r="G13" s="19">
        <f t="shared" si="0"/>
        <v>1.0294734499663438</v>
      </c>
      <c r="H13" s="49">
        <v>2.6456931250447551E-2</v>
      </c>
      <c r="I13" s="49">
        <v>-6.0340354535844951E-2</v>
      </c>
      <c r="J13" s="50">
        <v>293.67560786553508</v>
      </c>
      <c r="K13" s="44">
        <v>6.588571618114486E-2</v>
      </c>
      <c r="M13" s="52">
        <v>43831.375</v>
      </c>
      <c r="N13">
        <v>2.4E-2</v>
      </c>
      <c r="O13">
        <v>0.14642258701351374</v>
      </c>
      <c r="P13">
        <v>0.12242258701351375</v>
      </c>
      <c r="Q13">
        <v>10</v>
      </c>
    </row>
    <row r="14" spans="1:18" ht="15.75" customHeight="1" x14ac:dyDescent="0.25">
      <c r="A14" s="12"/>
      <c r="B14" s="11"/>
      <c r="C14" s="12"/>
      <c r="D14" s="12"/>
      <c r="E14" s="12"/>
      <c r="F14" s="12"/>
      <c r="G14" s="12"/>
      <c r="H14" s="12"/>
      <c r="I14" s="12"/>
      <c r="J14" s="12"/>
      <c r="K14" s="12"/>
      <c r="M14" s="52">
        <v>43831.416666666664</v>
      </c>
      <c r="N14">
        <v>0.157</v>
      </c>
      <c r="O14">
        <v>0.22251540588273294</v>
      </c>
      <c r="P14">
        <v>6.5515405882732941E-2</v>
      </c>
      <c r="Q14">
        <v>11</v>
      </c>
    </row>
    <row r="15" spans="1:18" ht="15.75" customHeight="1" x14ac:dyDescent="0.25">
      <c r="A15" s="12"/>
      <c r="B15" s="11"/>
      <c r="C15" s="13" t="s">
        <v>53</v>
      </c>
      <c r="D15" s="14" t="s">
        <v>54</v>
      </c>
      <c r="E15" s="15">
        <f>(K9+K10)/(K5+K6)</f>
        <v>0.87316399713533943</v>
      </c>
      <c r="F15" s="16" t="str">
        <f>IF(E15&lt;0.25,"Semi diurnal tide",IF(E15&lt;1.5,"Mixed, predominantly semi-diurnal tide",IF(E15&lt;3,"Mixed, predominantly diurnal tide","Diurnal tide")))</f>
        <v>Mixed, predominantly semi-diurnal tide</v>
      </c>
      <c r="G15" s="12"/>
      <c r="H15" s="12"/>
      <c r="I15" s="12"/>
      <c r="J15" s="12"/>
      <c r="M15" s="52">
        <v>43831.458333333336</v>
      </c>
      <c r="N15">
        <v>0.26100000000000001</v>
      </c>
      <c r="O15">
        <v>0.31674967538499038</v>
      </c>
      <c r="P15">
        <v>5.5749675384990371E-2</v>
      </c>
      <c r="Q15">
        <v>12</v>
      </c>
    </row>
    <row r="16" spans="1:18" x14ac:dyDescent="0.2">
      <c r="M16" s="52">
        <v>43831.5</v>
      </c>
      <c r="N16">
        <v>0.308</v>
      </c>
      <c r="O16">
        <v>0.34123055838025051</v>
      </c>
      <c r="P16">
        <v>3.3230558380250519E-2</v>
      </c>
      <c r="Q16">
        <v>13</v>
      </c>
    </row>
    <row r="17" spans="13:17" x14ac:dyDescent="0.2">
      <c r="M17" s="52">
        <v>43831.541666666664</v>
      </c>
      <c r="N17">
        <v>0.28299999999999997</v>
      </c>
      <c r="O17">
        <v>0.26882484406443341</v>
      </c>
      <c r="P17">
        <v>-1.4175155935566564E-2</v>
      </c>
      <c r="Q17">
        <v>14</v>
      </c>
    </row>
    <row r="18" spans="13:17" x14ac:dyDescent="0.2">
      <c r="M18" s="52">
        <v>43831.583333333336</v>
      </c>
      <c r="N18">
        <v>0.189</v>
      </c>
      <c r="O18">
        <v>0.1601165722325843</v>
      </c>
      <c r="P18">
        <v>-2.8883427767415704E-2</v>
      </c>
      <c r="Q18">
        <v>15</v>
      </c>
    </row>
    <row r="19" spans="13:17" x14ac:dyDescent="0.2">
      <c r="M19" s="52">
        <v>43831.625</v>
      </c>
      <c r="N19">
        <v>4.7E-2</v>
      </c>
      <c r="O19">
        <v>0.10748037020341634</v>
      </c>
      <c r="P19">
        <v>6.0480370203416345E-2</v>
      </c>
      <c r="Q19">
        <v>16</v>
      </c>
    </row>
    <row r="20" spans="13:17" x14ac:dyDescent="0.2">
      <c r="M20" s="52">
        <v>43831.666666666664</v>
      </c>
      <c r="N20">
        <v>0.109</v>
      </c>
      <c r="O20">
        <v>0.14879228251763166</v>
      </c>
      <c r="P20">
        <v>3.9792282517631658E-2</v>
      </c>
      <c r="Q20">
        <v>17</v>
      </c>
    </row>
    <row r="21" spans="13:17" x14ac:dyDescent="0.2">
      <c r="M21" s="52">
        <v>43831.708333333336</v>
      </c>
      <c r="N21">
        <v>0.24099999999999999</v>
      </c>
      <c r="O21">
        <v>0.23298244517349959</v>
      </c>
      <c r="P21">
        <v>-8.017554826500406E-3</v>
      </c>
      <c r="Q21">
        <v>18</v>
      </c>
    </row>
    <row r="22" spans="13:17" x14ac:dyDescent="0.2">
      <c r="M22" s="52">
        <v>43831.75</v>
      </c>
      <c r="N22">
        <v>0.315</v>
      </c>
      <c r="O22">
        <v>0.27059674988314147</v>
      </c>
      <c r="P22">
        <v>-4.4403250116858528E-2</v>
      </c>
      <c r="Q22">
        <v>19</v>
      </c>
    </row>
    <row r="23" spans="13:17" x14ac:dyDescent="0.2">
      <c r="M23" s="52">
        <v>43831.791666666664</v>
      </c>
      <c r="N23">
        <v>0.314</v>
      </c>
      <c r="O23">
        <v>0.22110448647998049</v>
      </c>
      <c r="P23">
        <v>-9.2895513520019513E-2</v>
      </c>
      <c r="Q23">
        <v>20</v>
      </c>
    </row>
    <row r="24" spans="13:17" x14ac:dyDescent="0.2">
      <c r="M24" s="52">
        <v>43831.833333333336</v>
      </c>
      <c r="N24">
        <v>0.23599999999999999</v>
      </c>
      <c r="O24">
        <v>0.13294052894353445</v>
      </c>
      <c r="P24">
        <v>-0.10305947105646554</v>
      </c>
      <c r="Q24">
        <v>21</v>
      </c>
    </row>
    <row r="25" spans="13:17" x14ac:dyDescent="0.2">
      <c r="M25" s="52">
        <v>43831.875</v>
      </c>
      <c r="N25">
        <v>0.10199999999999999</v>
      </c>
      <c r="O25">
        <v>9.713024285383412E-2</v>
      </c>
      <c r="P25">
        <v>-4.8697571461658734E-3</v>
      </c>
      <c r="Q25">
        <v>22</v>
      </c>
    </row>
    <row r="26" spans="13:17" x14ac:dyDescent="0.2">
      <c r="M26" s="52">
        <v>43831.916666666664</v>
      </c>
      <c r="N26">
        <v>5.5E-2</v>
      </c>
      <c r="O26">
        <v>0.15843351211072118</v>
      </c>
      <c r="P26">
        <v>0.10343351211072119</v>
      </c>
      <c r="Q26">
        <v>23</v>
      </c>
    </row>
    <row r="27" spans="13:17" x14ac:dyDescent="0.2">
      <c r="M27" s="52">
        <v>43831.958333333336</v>
      </c>
      <c r="N27">
        <v>0.19500000000000001</v>
      </c>
      <c r="O27">
        <v>0.26956233829155474</v>
      </c>
      <c r="P27">
        <v>7.4562338291554731E-2</v>
      </c>
      <c r="Q27">
        <v>24</v>
      </c>
    </row>
    <row r="28" spans="13:17" x14ac:dyDescent="0.2">
      <c r="M28" s="52">
        <v>43832</v>
      </c>
      <c r="N28">
        <v>0.28399999999999997</v>
      </c>
      <c r="O28">
        <v>0.33356862032191875</v>
      </c>
      <c r="P28">
        <v>4.9568620321918777E-2</v>
      </c>
      <c r="Q28">
        <v>25</v>
      </c>
    </row>
    <row r="29" spans="13:17" x14ac:dyDescent="0.2">
      <c r="M29" s="52">
        <v>43832.041666666664</v>
      </c>
      <c r="N29">
        <v>0.29799999999999999</v>
      </c>
      <c r="O29">
        <v>0.29502612584901583</v>
      </c>
      <c r="P29">
        <v>-2.9738741509841571E-3</v>
      </c>
      <c r="Q29">
        <v>26</v>
      </c>
    </row>
    <row r="30" spans="13:17" x14ac:dyDescent="0.2">
      <c r="M30" s="52">
        <v>43832.083333333336</v>
      </c>
      <c r="N30">
        <v>0.23400000000000001</v>
      </c>
      <c r="O30">
        <v>0.19305407912469019</v>
      </c>
      <c r="P30">
        <v>-4.0945920875309821E-2</v>
      </c>
      <c r="Q30">
        <v>27</v>
      </c>
    </row>
    <row r="31" spans="13:17" x14ac:dyDescent="0.2">
      <c r="M31" s="52">
        <v>43832.125</v>
      </c>
      <c r="N31">
        <v>0.11</v>
      </c>
      <c r="O31">
        <v>0.12480971179377282</v>
      </c>
      <c r="P31">
        <v>1.4809711793772815E-2</v>
      </c>
      <c r="Q31">
        <v>28</v>
      </c>
    </row>
    <row r="32" spans="13:17" x14ac:dyDescent="0.2">
      <c r="M32" s="52">
        <v>43832.166666666664</v>
      </c>
      <c r="N32">
        <v>4.2999999999999997E-2</v>
      </c>
      <c r="O32">
        <v>0.15348526248071293</v>
      </c>
      <c r="P32">
        <v>0.11048526248071293</v>
      </c>
      <c r="Q32">
        <v>29</v>
      </c>
    </row>
    <row r="33" spans="1:17" x14ac:dyDescent="0.2">
      <c r="M33" s="52">
        <v>43832.208333333336</v>
      </c>
      <c r="N33">
        <v>0.184</v>
      </c>
      <c r="O33">
        <v>0.2484269628351285</v>
      </c>
      <c r="P33">
        <v>6.4426962835128498E-2</v>
      </c>
      <c r="Q33">
        <v>30</v>
      </c>
    </row>
    <row r="34" spans="1:17" x14ac:dyDescent="0.2">
      <c r="M34" s="52">
        <v>43832.25</v>
      </c>
      <c r="N34">
        <v>0.27600000000000002</v>
      </c>
      <c r="O34">
        <v>0.31489606948114307</v>
      </c>
      <c r="P34">
        <v>3.8896069481143047E-2</v>
      </c>
      <c r="Q34">
        <v>31</v>
      </c>
    </row>
    <row r="35" spans="1:17" x14ac:dyDescent="0.2">
      <c r="M35" s="52">
        <v>43832.291666666664</v>
      </c>
      <c r="N35">
        <v>0.29599999999999999</v>
      </c>
      <c r="O35">
        <v>0.28537217555780736</v>
      </c>
      <c r="P35">
        <v>-1.0627824442192624E-2</v>
      </c>
      <c r="Q35">
        <v>32</v>
      </c>
    </row>
    <row r="36" spans="1:17" x14ac:dyDescent="0.2">
      <c r="M36" s="52">
        <v>43832.333333333336</v>
      </c>
      <c r="N36">
        <v>0.23699999999999999</v>
      </c>
      <c r="O36">
        <v>0.18499110826010345</v>
      </c>
      <c r="P36">
        <v>-5.2008891739896534E-2</v>
      </c>
      <c r="Q36">
        <v>33</v>
      </c>
    </row>
    <row r="37" spans="1:17" x14ac:dyDescent="0.2">
      <c r="M37" s="52">
        <v>43832.375</v>
      </c>
      <c r="N37">
        <v>0.115</v>
      </c>
      <c r="O37">
        <v>0.10797245863451781</v>
      </c>
      <c r="P37">
        <v>-7.0275413654821983E-3</v>
      </c>
      <c r="Q37">
        <v>34</v>
      </c>
    </row>
    <row r="38" spans="1:17" x14ac:dyDescent="0.2">
      <c r="M38" s="52">
        <v>43832.416666666664</v>
      </c>
      <c r="N38">
        <v>3.6999999999999998E-2</v>
      </c>
      <c r="O38">
        <v>0.12708915800259474</v>
      </c>
      <c r="P38">
        <v>9.0089158002594732E-2</v>
      </c>
      <c r="Q38">
        <v>35</v>
      </c>
    </row>
    <row r="39" spans="1:17" ht="18" customHeight="1" x14ac:dyDescent="0.25">
      <c r="A39" s="1"/>
      <c r="M39" s="52">
        <v>43832.458333333336</v>
      </c>
      <c r="N39">
        <v>0.18099999999999999</v>
      </c>
      <c r="O39">
        <v>0.22290744996012943</v>
      </c>
      <c r="P39">
        <v>4.1907449960129434E-2</v>
      </c>
      <c r="Q39">
        <v>36</v>
      </c>
    </row>
    <row r="40" spans="1:17" x14ac:dyDescent="0.2">
      <c r="B40" s="37"/>
      <c r="C40" s="55" t="s">
        <v>55</v>
      </c>
      <c r="D40" s="56" t="s">
        <v>56</v>
      </c>
      <c r="E40" s="57"/>
      <c r="F40" s="56" t="s">
        <v>57</v>
      </c>
      <c r="G40" s="57"/>
      <c r="M40" s="52">
        <v>43832.5</v>
      </c>
      <c r="N40">
        <v>0.27600000000000002</v>
      </c>
      <c r="O40">
        <v>0.30126998303218394</v>
      </c>
      <c r="P40">
        <v>2.5269983032183918E-2</v>
      </c>
      <c r="Q40">
        <v>37</v>
      </c>
    </row>
    <row r="41" spans="1:17" x14ac:dyDescent="0.2">
      <c r="C41" s="61"/>
      <c r="D41" s="64" t="s">
        <v>14</v>
      </c>
      <c r="E41" s="64" t="s">
        <v>58</v>
      </c>
      <c r="F41" s="64" t="s">
        <v>14</v>
      </c>
      <c r="G41" s="64" t="s">
        <v>58</v>
      </c>
      <c r="I41" s="78" t="s">
        <v>59</v>
      </c>
      <c r="J41" s="78" t="s">
        <v>60</v>
      </c>
      <c r="M41" s="52">
        <v>43832.541666666664</v>
      </c>
      <c r="N41">
        <v>0.29799999999999999</v>
      </c>
      <c r="O41">
        <v>0.28315693338100445</v>
      </c>
      <c r="P41">
        <v>-1.4843066618995537E-2</v>
      </c>
      <c r="Q41">
        <v>38</v>
      </c>
    </row>
    <row r="42" spans="1:17" x14ac:dyDescent="0.2">
      <c r="C42" s="58" t="s">
        <v>61</v>
      </c>
      <c r="D42" s="59">
        <f>INDEX(_chartDate,MATCH(E42,_chartObservations,0))</f>
        <v>43845.041666666664</v>
      </c>
      <c r="E42" s="60">
        <f>MIN(_chartObservations)</f>
        <v>0</v>
      </c>
      <c r="F42" s="59">
        <f>INDEX(_chartDate,MATCH(G42,_chartObservations,0))</f>
        <v>43838.125</v>
      </c>
      <c r="G42" s="60">
        <f>MAX(_chartObservations)</f>
        <v>0.57199999999999995</v>
      </c>
      <c r="I42" s="78" t="s">
        <v>62</v>
      </c>
      <c r="J42" s="79">
        <f>J44+K6+K9+K10+K11+K5+K8</f>
        <v>0.80292149842712812</v>
      </c>
      <c r="K42" s="67">
        <v>1.418426566896916</v>
      </c>
      <c r="M42" s="52">
        <v>43832.583333333336</v>
      </c>
      <c r="N42">
        <v>0.23799999999999999</v>
      </c>
      <c r="O42">
        <v>0.18121262527600523</v>
      </c>
      <c r="P42">
        <v>-5.6787374723994755E-2</v>
      </c>
      <c r="Q42">
        <v>39</v>
      </c>
    </row>
    <row r="43" spans="1:17" x14ac:dyDescent="0.2">
      <c r="C43" s="58" t="s">
        <v>63</v>
      </c>
      <c r="D43" s="59">
        <f>INDEX(_chartDate,MATCH(E43,_chartCalculations,0))</f>
        <v>43835.708333333336</v>
      </c>
      <c r="E43" s="60">
        <f>MIN(_chartCalculations)</f>
        <v>1.2335346384122869E-2</v>
      </c>
      <c r="F43" s="59">
        <f>INDEX(_chartDate,MATCH(G43,_chartCalculations,0))</f>
        <v>43839.166666666664</v>
      </c>
      <c r="G43" s="60">
        <f>MAX(_chartCalculations)</f>
        <v>0.4437438554446077</v>
      </c>
      <c r="I43" s="78" t="s">
        <v>64</v>
      </c>
      <c r="J43" s="79">
        <f>J47+(K5+K6)</f>
        <v>0.40161706773386086</v>
      </c>
      <c r="K43" s="67">
        <v>0.89731403383369912</v>
      </c>
      <c r="M43" s="52">
        <v>43832.625</v>
      </c>
      <c r="N43">
        <v>0.111</v>
      </c>
      <c r="O43">
        <v>8.9188171601234711E-2</v>
      </c>
      <c r="P43">
        <v>-2.181182839876529E-2</v>
      </c>
      <c r="Q43">
        <v>40</v>
      </c>
    </row>
    <row r="44" spans="1:17" x14ac:dyDescent="0.2">
      <c r="C44" s="66" t="s">
        <v>65</v>
      </c>
      <c r="D44" s="62">
        <f>INDEX(_chartDate,MATCH(E44,_chartDelta,0))</f>
        <v>43838.833333333336</v>
      </c>
      <c r="E44" s="63">
        <f>MIN(_chartDelta)</f>
        <v>-0.21697863301573445</v>
      </c>
      <c r="F44" s="62">
        <f>INDEX(_chartDate,MATCH(G44,_chartDelta,0))</f>
        <v>43844.208333333336</v>
      </c>
      <c r="G44" s="63">
        <f>MAX(_chartDelta)</f>
        <v>0.24792898919991924</v>
      </c>
      <c r="I44" s="78" t="s">
        <v>66</v>
      </c>
      <c r="J44" s="79">
        <f>_MSL</f>
        <v>0.21142364514928993</v>
      </c>
      <c r="K44" s="67">
        <v>-2.222755074954096E-4</v>
      </c>
      <c r="M44" s="52">
        <v>43832.666666666664</v>
      </c>
      <c r="N44">
        <v>4.9000000000000002E-2</v>
      </c>
      <c r="O44">
        <v>9.3528162516825414E-2</v>
      </c>
      <c r="P44">
        <v>4.4528162516825412E-2</v>
      </c>
      <c r="Q44">
        <v>41</v>
      </c>
    </row>
    <row r="45" spans="1:17" x14ac:dyDescent="0.2">
      <c r="I45" s="78" t="s">
        <v>67</v>
      </c>
      <c r="J45" s="79">
        <f>J47-(K5+K6)</f>
        <v>2.1230222564719042E-2</v>
      </c>
      <c r="K45" s="67">
        <v>-0.89775858484868998</v>
      </c>
      <c r="M45" s="52">
        <v>43832.708333333336</v>
      </c>
      <c r="N45">
        <v>0.20300000000000001</v>
      </c>
      <c r="O45">
        <v>0.1911547197616873</v>
      </c>
      <c r="P45">
        <v>-1.1845280238312716E-2</v>
      </c>
      <c r="Q45">
        <v>42</v>
      </c>
    </row>
    <row r="46" spans="1:17" x14ac:dyDescent="0.2">
      <c r="C46" s="65" t="s">
        <v>68</v>
      </c>
      <c r="D46">
        <f>COUNT(_chartObservations)</f>
        <v>360</v>
      </c>
      <c r="I46" s="78" t="s">
        <v>69</v>
      </c>
      <c r="J46" s="79">
        <f>J44-(K5+K6+K7+K9+K10+K11+K12+K13)</f>
        <v>-0.37316177895413327</v>
      </c>
      <c r="K46" s="80">
        <v>-1.439053248091239</v>
      </c>
      <c r="M46" s="52">
        <v>43832.75</v>
      </c>
      <c r="N46">
        <v>0.307</v>
      </c>
      <c r="O46">
        <v>0.29221238821156614</v>
      </c>
      <c r="P46">
        <v>-1.4787611788433852E-2</v>
      </c>
      <c r="Q46">
        <v>43</v>
      </c>
    </row>
    <row r="47" spans="1:17" x14ac:dyDescent="0.2">
      <c r="C47" s="65" t="s">
        <v>70</v>
      </c>
      <c r="D47">
        <v>19</v>
      </c>
      <c r="I47" s="78" t="s">
        <v>35</v>
      </c>
      <c r="J47" s="79">
        <f>J44</f>
        <v>0.21142364514928993</v>
      </c>
      <c r="K47" s="67">
        <f>K42-K46</f>
        <v>2.8574798149881548</v>
      </c>
      <c r="L47">
        <v>2.8574798149881548</v>
      </c>
      <c r="M47" s="52">
        <v>43832.791666666664</v>
      </c>
      <c r="N47">
        <v>0.33400000000000002</v>
      </c>
      <c r="O47">
        <v>0.30560627904828691</v>
      </c>
      <c r="P47">
        <v>-2.8393720951713108E-2</v>
      </c>
      <c r="Q47">
        <v>44</v>
      </c>
    </row>
    <row r="48" spans="1:17" x14ac:dyDescent="0.2">
      <c r="C48" s="65" t="s">
        <v>71</v>
      </c>
      <c r="D48">
        <f>D46-D47</f>
        <v>341</v>
      </c>
      <c r="M48" s="52">
        <v>43832.833333333336</v>
      </c>
      <c r="N48">
        <v>0.27400000000000002</v>
      </c>
      <c r="O48">
        <v>0.22577476528048634</v>
      </c>
      <c r="P48">
        <v>-4.8225234719513677E-2</v>
      </c>
      <c r="Q48">
        <v>45</v>
      </c>
    </row>
    <row r="49" spans="3:17" x14ac:dyDescent="0.2">
      <c r="C49" s="65" t="s">
        <v>72</v>
      </c>
      <c r="D49" s="67">
        <f>SQRT(SUMPRODUCT(_chartDelta,_chartDelta)/D48)</f>
        <v>9.7615956427884523E-2</v>
      </c>
      <c r="E49" s="37" t="s">
        <v>73</v>
      </c>
      <c r="M49" s="52">
        <v>43832.875</v>
      </c>
      <c r="N49">
        <v>0.13900000000000001</v>
      </c>
      <c r="O49">
        <v>0.13753048282639063</v>
      </c>
      <c r="P49">
        <v>-1.4695171736093804E-3</v>
      </c>
      <c r="Q49">
        <v>46</v>
      </c>
    </row>
    <row r="50" spans="3:17" x14ac:dyDescent="0.2">
      <c r="M50" s="52">
        <v>43832.916666666664</v>
      </c>
      <c r="N50">
        <v>3.6999999999999998E-2</v>
      </c>
      <c r="O50">
        <v>0.13402034452973435</v>
      </c>
      <c r="P50">
        <v>9.7020344529734348E-2</v>
      </c>
      <c r="Q50">
        <v>47</v>
      </c>
    </row>
    <row r="51" spans="3:17" x14ac:dyDescent="0.2">
      <c r="M51" s="52">
        <v>43832.958333333336</v>
      </c>
      <c r="N51">
        <v>0.21299999999999999</v>
      </c>
      <c r="O51">
        <v>0.22627534557798074</v>
      </c>
      <c r="P51">
        <v>1.3275345577980741E-2</v>
      </c>
      <c r="Q51">
        <v>48</v>
      </c>
    </row>
    <row r="52" spans="3:17" x14ac:dyDescent="0.2">
      <c r="M52" s="52">
        <v>43833</v>
      </c>
      <c r="N52">
        <v>0.34200000000000003</v>
      </c>
      <c r="O52">
        <v>0.33135080467734701</v>
      </c>
      <c r="P52">
        <v>-1.0649195322653016E-2</v>
      </c>
      <c r="Q52">
        <v>49</v>
      </c>
    </row>
    <row r="53" spans="3:17" x14ac:dyDescent="0.2">
      <c r="M53" s="52">
        <v>43833.041666666664</v>
      </c>
      <c r="N53">
        <v>0.39400000000000002</v>
      </c>
      <c r="O53">
        <v>0.35104353791391552</v>
      </c>
      <c r="P53">
        <v>-4.2956462086084501E-2</v>
      </c>
      <c r="Q53">
        <v>50</v>
      </c>
    </row>
    <row r="54" spans="3:17" x14ac:dyDescent="0.2">
      <c r="M54" s="52">
        <v>43833.083333333336</v>
      </c>
      <c r="N54">
        <v>0.35299999999999998</v>
      </c>
      <c r="O54">
        <v>0.26616187091385202</v>
      </c>
      <c r="P54">
        <v>-8.6838129086147964E-2</v>
      </c>
      <c r="Q54">
        <v>51</v>
      </c>
    </row>
    <row r="55" spans="3:17" x14ac:dyDescent="0.2">
      <c r="M55" s="52">
        <v>43833.125</v>
      </c>
      <c r="N55">
        <v>0.22900000000000001</v>
      </c>
      <c r="O55">
        <v>0.1558308525152034</v>
      </c>
      <c r="P55">
        <v>-7.3169147484796609E-2</v>
      </c>
      <c r="Q55">
        <v>52</v>
      </c>
    </row>
    <row r="56" spans="3:17" x14ac:dyDescent="0.2">
      <c r="M56" s="52">
        <v>43833.166666666664</v>
      </c>
      <c r="N56">
        <v>5.2999999999999999E-2</v>
      </c>
      <c r="O56">
        <v>0.122671062248132</v>
      </c>
      <c r="P56">
        <v>6.9671062248131993E-2</v>
      </c>
      <c r="Q56">
        <v>53</v>
      </c>
    </row>
    <row r="57" spans="3:17" x14ac:dyDescent="0.2">
      <c r="M57" s="52">
        <v>43833.208333333336</v>
      </c>
      <c r="N57">
        <v>0.13200000000000001</v>
      </c>
      <c r="O57">
        <v>0.19491260649220657</v>
      </c>
      <c r="P57">
        <v>6.2912606492206563E-2</v>
      </c>
      <c r="Q57">
        <v>54</v>
      </c>
    </row>
    <row r="58" spans="3:17" x14ac:dyDescent="0.2">
      <c r="M58" s="52">
        <v>43833.25</v>
      </c>
      <c r="N58">
        <v>0.28100000000000003</v>
      </c>
      <c r="O58">
        <v>0.29909593776981475</v>
      </c>
      <c r="P58">
        <v>1.8095937769814718E-2</v>
      </c>
      <c r="Q58">
        <v>55</v>
      </c>
    </row>
    <row r="59" spans="3:17" x14ac:dyDescent="0.2">
      <c r="M59" s="52">
        <v>43833.291666666664</v>
      </c>
      <c r="N59">
        <v>0.35699999999999998</v>
      </c>
      <c r="O59">
        <v>0.32989766579045754</v>
      </c>
      <c r="P59">
        <v>-2.7102334209542445E-2</v>
      </c>
      <c r="Q59">
        <v>56</v>
      </c>
    </row>
    <row r="60" spans="3:17" x14ac:dyDescent="0.2">
      <c r="M60" s="52">
        <v>43833.333333333336</v>
      </c>
      <c r="N60">
        <v>0.34399999999999997</v>
      </c>
      <c r="O60">
        <v>0.25070243178769552</v>
      </c>
      <c r="P60">
        <v>-9.3297568212304449E-2</v>
      </c>
      <c r="Q60">
        <v>57</v>
      </c>
    </row>
    <row r="61" spans="3:17" x14ac:dyDescent="0.2">
      <c r="M61" s="52">
        <v>43833.375</v>
      </c>
      <c r="N61">
        <v>0.248</v>
      </c>
      <c r="O61">
        <v>0.12881114977346192</v>
      </c>
      <c r="P61">
        <v>-0.11918885022653808</v>
      </c>
      <c r="Q61">
        <v>58</v>
      </c>
    </row>
    <row r="62" spans="3:17" x14ac:dyDescent="0.2">
      <c r="M62" s="52">
        <v>43833.416666666664</v>
      </c>
      <c r="N62">
        <v>9.6000000000000002E-2</v>
      </c>
      <c r="O62">
        <v>7.1436213570785723E-2</v>
      </c>
      <c r="P62">
        <v>-2.4563786429214279E-2</v>
      </c>
      <c r="Q62">
        <v>59</v>
      </c>
    </row>
    <row r="63" spans="3:17" x14ac:dyDescent="0.2">
      <c r="M63" s="52">
        <v>43833.458333333336</v>
      </c>
      <c r="N63">
        <v>7.0000000000000007E-2</v>
      </c>
      <c r="O63">
        <v>0.12357744534024408</v>
      </c>
      <c r="P63">
        <v>5.357744534024407E-2</v>
      </c>
      <c r="Q63">
        <v>60</v>
      </c>
    </row>
    <row r="64" spans="3:17" x14ac:dyDescent="0.2">
      <c r="M64" s="52">
        <v>43833.5</v>
      </c>
      <c r="N64">
        <v>0.20599999999999999</v>
      </c>
      <c r="O64">
        <v>0.2255808998660557</v>
      </c>
      <c r="P64">
        <v>1.9580899866055712E-2</v>
      </c>
      <c r="Q64">
        <v>61</v>
      </c>
    </row>
    <row r="65" spans="13:17" x14ac:dyDescent="0.2">
      <c r="M65" s="52">
        <v>43833.541666666664</v>
      </c>
      <c r="N65">
        <v>0.27400000000000002</v>
      </c>
      <c r="O65">
        <v>0.27122110826983648</v>
      </c>
      <c r="P65">
        <v>-2.7788917301635463E-3</v>
      </c>
      <c r="Q65">
        <v>62</v>
      </c>
    </row>
    <row r="66" spans="13:17" x14ac:dyDescent="0.2">
      <c r="M66" s="52">
        <v>43833.583333333336</v>
      </c>
      <c r="N66">
        <v>0.25700000000000001</v>
      </c>
      <c r="O66">
        <v>0.21079524450320705</v>
      </c>
      <c r="P66">
        <v>-4.6204755496792954E-2</v>
      </c>
      <c r="Q66">
        <v>63</v>
      </c>
    </row>
    <row r="67" spans="13:17" x14ac:dyDescent="0.2">
      <c r="M67" s="52">
        <v>43833.625</v>
      </c>
      <c r="N67">
        <v>0.16</v>
      </c>
      <c r="O67">
        <v>0.10026126027551438</v>
      </c>
      <c r="P67">
        <v>-5.9738739724485623E-2</v>
      </c>
      <c r="Q67">
        <v>64</v>
      </c>
    </row>
    <row r="68" spans="13:17" x14ac:dyDescent="0.2">
      <c r="M68" s="52">
        <v>43833.666666666664</v>
      </c>
      <c r="N68">
        <v>8.0000000000000002E-3</v>
      </c>
      <c r="O68">
        <v>4.8799270452575261E-2</v>
      </c>
      <c r="P68">
        <v>4.0799270452575261E-2</v>
      </c>
      <c r="Q68">
        <v>65</v>
      </c>
    </row>
    <row r="69" spans="13:17" x14ac:dyDescent="0.2">
      <c r="M69" s="52">
        <v>43833.708333333336</v>
      </c>
      <c r="N69">
        <v>0.155</v>
      </c>
      <c r="O69">
        <v>0.11445409986318426</v>
      </c>
      <c r="P69">
        <v>-4.0545900136815735E-2</v>
      </c>
      <c r="Q69">
        <v>66</v>
      </c>
    </row>
    <row r="70" spans="13:17" x14ac:dyDescent="0.2">
      <c r="M70" s="52">
        <v>43833.75</v>
      </c>
      <c r="N70">
        <v>0.28399999999999997</v>
      </c>
      <c r="O70">
        <v>0.24760556182468385</v>
      </c>
      <c r="P70">
        <v>-3.6394438175316124E-2</v>
      </c>
      <c r="Q70">
        <v>67</v>
      </c>
    </row>
    <row r="71" spans="13:17" x14ac:dyDescent="0.2">
      <c r="M71" s="52">
        <v>43833.791666666664</v>
      </c>
      <c r="N71">
        <v>0.34200000000000003</v>
      </c>
      <c r="O71">
        <v>0.33669110585296413</v>
      </c>
      <c r="P71">
        <v>-5.3088941470358919E-3</v>
      </c>
      <c r="Q71">
        <v>68</v>
      </c>
    </row>
    <row r="72" spans="13:17" x14ac:dyDescent="0.2">
      <c r="M72" s="52">
        <v>43833.833333333336</v>
      </c>
      <c r="N72">
        <v>0.308</v>
      </c>
      <c r="O72">
        <v>0.31295661451944518</v>
      </c>
      <c r="P72">
        <v>4.9566145194451794E-3</v>
      </c>
      <c r="Q72">
        <v>69</v>
      </c>
    </row>
    <row r="73" spans="13:17" x14ac:dyDescent="0.2">
      <c r="M73" s="52">
        <v>43833.875</v>
      </c>
      <c r="N73">
        <v>0.186</v>
      </c>
      <c r="O73">
        <v>0.21442476861514137</v>
      </c>
      <c r="P73">
        <v>2.8424768615141371E-2</v>
      </c>
      <c r="Q73">
        <v>70</v>
      </c>
    </row>
    <row r="74" spans="13:17" x14ac:dyDescent="0.2">
      <c r="M74" s="52">
        <v>43833.916666666664</v>
      </c>
      <c r="N74">
        <v>3.0000000000000001E-3</v>
      </c>
      <c r="O74">
        <v>0.14807393801587226</v>
      </c>
      <c r="P74">
        <v>0.14507393801587226</v>
      </c>
      <c r="Q74">
        <v>71</v>
      </c>
    </row>
    <row r="75" spans="13:17" x14ac:dyDescent="0.2">
      <c r="M75" s="52">
        <v>43833.958333333336</v>
      </c>
      <c r="N75">
        <v>0.19800000000000001</v>
      </c>
      <c r="O75">
        <v>0.18649080849504826</v>
      </c>
      <c r="P75">
        <v>-1.1509191504951749E-2</v>
      </c>
      <c r="Q75">
        <v>72</v>
      </c>
    </row>
    <row r="76" spans="13:17" x14ac:dyDescent="0.2">
      <c r="M76" s="52">
        <v>43834</v>
      </c>
      <c r="N76">
        <v>0.36599999999999999</v>
      </c>
      <c r="O76">
        <v>0.2979634405726268</v>
      </c>
      <c r="P76">
        <v>-6.8036559427373189E-2</v>
      </c>
      <c r="Q76">
        <v>73</v>
      </c>
    </row>
    <row r="77" spans="13:17" x14ac:dyDescent="0.2">
      <c r="M77" s="52">
        <v>43834.041666666664</v>
      </c>
      <c r="N77">
        <v>0.46100000000000002</v>
      </c>
      <c r="O77">
        <v>0.37699277795033515</v>
      </c>
      <c r="P77">
        <v>-8.4007222049664876E-2</v>
      </c>
      <c r="Q77">
        <v>74</v>
      </c>
    </row>
    <row r="78" spans="13:17" x14ac:dyDescent="0.2">
      <c r="M78" s="52">
        <v>43834.083333333336</v>
      </c>
      <c r="N78">
        <v>0.45600000000000002</v>
      </c>
      <c r="O78">
        <v>0.34599773767024022</v>
      </c>
      <c r="P78">
        <v>-0.11000226232975979</v>
      </c>
      <c r="Q78">
        <v>75</v>
      </c>
    </row>
    <row r="79" spans="13:17" x14ac:dyDescent="0.2">
      <c r="M79" s="52">
        <v>43834.125</v>
      </c>
      <c r="N79">
        <v>0.35299999999999998</v>
      </c>
      <c r="O79">
        <v>0.23064215738968005</v>
      </c>
      <c r="P79">
        <v>-0.12235784261031993</v>
      </c>
      <c r="Q79">
        <v>76</v>
      </c>
    </row>
    <row r="80" spans="13:17" x14ac:dyDescent="0.2">
      <c r="M80" s="52">
        <v>43834.166666666664</v>
      </c>
      <c r="N80">
        <v>0.17399999999999999</v>
      </c>
      <c r="O80">
        <v>0.13627821882331051</v>
      </c>
      <c r="P80">
        <v>-3.7721781176689478E-2</v>
      </c>
      <c r="Q80">
        <v>77</v>
      </c>
    </row>
    <row r="81" spans="13:17" x14ac:dyDescent="0.2">
      <c r="M81" s="52">
        <v>43834.208333333336</v>
      </c>
      <c r="N81">
        <v>3.7999999999999999E-2</v>
      </c>
      <c r="O81">
        <v>0.1476480310622203</v>
      </c>
      <c r="P81">
        <v>0.10964803106222029</v>
      </c>
      <c r="Q81">
        <v>78</v>
      </c>
    </row>
    <row r="82" spans="13:17" x14ac:dyDescent="0.2">
      <c r="M82" s="52">
        <v>43834.25</v>
      </c>
      <c r="N82">
        <v>0.23200000000000001</v>
      </c>
      <c r="O82">
        <v>0.24765667175697853</v>
      </c>
      <c r="P82">
        <v>1.5656671756978519E-2</v>
      </c>
      <c r="Q82">
        <v>79</v>
      </c>
    </row>
    <row r="83" spans="13:17" x14ac:dyDescent="0.2">
      <c r="M83" s="52">
        <v>43834.291666666664</v>
      </c>
      <c r="N83">
        <v>0.36499999999999999</v>
      </c>
      <c r="O83">
        <v>0.3330925428361392</v>
      </c>
      <c r="P83">
        <v>-3.1907457163860786E-2</v>
      </c>
      <c r="Q83">
        <v>80</v>
      </c>
    </row>
    <row r="84" spans="13:17" x14ac:dyDescent="0.2">
      <c r="M84" s="52">
        <v>43834.333333333336</v>
      </c>
      <c r="N84">
        <v>0.40699999999999997</v>
      </c>
      <c r="O84">
        <v>0.31261908336564176</v>
      </c>
      <c r="P84">
        <v>-9.4380916634358214E-2</v>
      </c>
      <c r="Q84">
        <v>81</v>
      </c>
    </row>
    <row r="85" spans="13:17" x14ac:dyDescent="0.2">
      <c r="M85" s="52">
        <v>43834.375</v>
      </c>
      <c r="N85">
        <v>0.35399999999999998</v>
      </c>
      <c r="O85">
        <v>0.19367803744358608</v>
      </c>
      <c r="P85">
        <v>-0.1603219625564139</v>
      </c>
      <c r="Q85">
        <v>82</v>
      </c>
    </row>
    <row r="86" spans="13:17" x14ac:dyDescent="0.2">
      <c r="M86" s="52">
        <v>43834.416666666664</v>
      </c>
      <c r="N86">
        <v>0.223</v>
      </c>
      <c r="O86">
        <v>7.5454512502446835E-2</v>
      </c>
      <c r="P86">
        <v>-0.14754548749755317</v>
      </c>
      <c r="Q86">
        <v>83</v>
      </c>
    </row>
    <row r="87" spans="13:17" x14ac:dyDescent="0.2">
      <c r="M87" s="52">
        <v>43834.458333333336</v>
      </c>
      <c r="N87">
        <v>5.2999999999999999E-2</v>
      </c>
      <c r="O87">
        <v>5.4780786790622621E-2</v>
      </c>
      <c r="P87">
        <v>1.7807867906226224E-3</v>
      </c>
      <c r="Q87">
        <v>84</v>
      </c>
    </row>
    <row r="88" spans="13:17" x14ac:dyDescent="0.2">
      <c r="M88" s="52">
        <v>43834.5</v>
      </c>
      <c r="N88">
        <v>0.107</v>
      </c>
      <c r="O88">
        <v>0.13499286781873651</v>
      </c>
      <c r="P88">
        <v>2.7992867818736514E-2</v>
      </c>
      <c r="Q88">
        <v>85</v>
      </c>
    </row>
    <row r="89" spans="13:17" x14ac:dyDescent="0.2">
      <c r="M89" s="52">
        <v>43834.541666666664</v>
      </c>
      <c r="N89">
        <v>0.216</v>
      </c>
      <c r="O89">
        <v>0.2247623459877644</v>
      </c>
      <c r="P89">
        <v>8.7623459877644028E-3</v>
      </c>
      <c r="Q89">
        <v>86</v>
      </c>
    </row>
    <row r="90" spans="13:17" x14ac:dyDescent="0.2">
      <c r="M90" s="52">
        <v>43834.583333333336</v>
      </c>
      <c r="N90">
        <v>0.24399999999999999</v>
      </c>
      <c r="O90">
        <v>0.22768296189649034</v>
      </c>
      <c r="P90">
        <v>-1.6317038103509651E-2</v>
      </c>
      <c r="Q90">
        <v>87</v>
      </c>
    </row>
    <row r="91" spans="13:17" x14ac:dyDescent="0.2">
      <c r="M91" s="52">
        <v>43834.625</v>
      </c>
      <c r="N91">
        <v>0.185</v>
      </c>
      <c r="O91">
        <v>0.13646041654451596</v>
      </c>
      <c r="P91">
        <v>-4.8539583455484037E-2</v>
      </c>
      <c r="Q91">
        <v>88</v>
      </c>
    </row>
    <row r="92" spans="13:17" x14ac:dyDescent="0.2">
      <c r="M92" s="52">
        <v>43834.666666666664</v>
      </c>
      <c r="N92">
        <v>5.6000000000000001E-2</v>
      </c>
      <c r="O92">
        <v>4.1159298922992221E-2</v>
      </c>
      <c r="P92">
        <v>-1.484070107700778E-2</v>
      </c>
      <c r="Q92">
        <v>89</v>
      </c>
    </row>
    <row r="93" spans="13:17" x14ac:dyDescent="0.2">
      <c r="M93" s="52">
        <v>43834.708333333336</v>
      </c>
      <c r="N93">
        <v>0.104</v>
      </c>
      <c r="O93">
        <v>4.3312033317643883E-2</v>
      </c>
      <c r="P93">
        <v>-6.0687966682356112E-2</v>
      </c>
      <c r="Q93">
        <v>90</v>
      </c>
    </row>
    <row r="94" spans="13:17" x14ac:dyDescent="0.2">
      <c r="M94" s="52">
        <v>43834.75</v>
      </c>
      <c r="N94">
        <v>0.248</v>
      </c>
      <c r="O94">
        <v>0.15795354215398791</v>
      </c>
      <c r="P94">
        <v>-9.004645784601209E-2</v>
      </c>
      <c r="Q94">
        <v>91</v>
      </c>
    </row>
    <row r="95" spans="13:17" x14ac:dyDescent="0.2">
      <c r="M95" s="52">
        <v>43834.791666666664</v>
      </c>
      <c r="N95">
        <v>0.33300000000000002</v>
      </c>
      <c r="O95">
        <v>0.29739975711685984</v>
      </c>
      <c r="P95">
        <v>-3.5600242883140176E-2</v>
      </c>
      <c r="Q95">
        <v>92</v>
      </c>
    </row>
    <row r="96" spans="13:17" x14ac:dyDescent="0.2">
      <c r="M96" s="52">
        <v>43834.833333333336</v>
      </c>
      <c r="N96">
        <v>0.33</v>
      </c>
      <c r="O96">
        <v>0.35256651996726296</v>
      </c>
      <c r="P96">
        <v>2.2566519967262944E-2</v>
      </c>
      <c r="Q96">
        <v>93</v>
      </c>
    </row>
    <row r="97" spans="13:17" x14ac:dyDescent="0.2">
      <c r="M97" s="52">
        <v>43834.875</v>
      </c>
      <c r="N97">
        <v>0.23100000000000001</v>
      </c>
      <c r="O97">
        <v>0.29446707678334094</v>
      </c>
      <c r="P97">
        <v>6.3467076783340931E-2</v>
      </c>
      <c r="Q97">
        <v>94</v>
      </c>
    </row>
    <row r="98" spans="13:17" x14ac:dyDescent="0.2">
      <c r="M98" s="52">
        <v>43834.916666666664</v>
      </c>
      <c r="N98">
        <v>5.7000000000000002E-2</v>
      </c>
      <c r="O98">
        <v>0.19932411208206008</v>
      </c>
      <c r="P98">
        <v>0.14232411208206008</v>
      </c>
      <c r="Q98">
        <v>95</v>
      </c>
    </row>
    <row r="99" spans="13:17" x14ac:dyDescent="0.2">
      <c r="M99" s="52">
        <v>43834.958333333336</v>
      </c>
      <c r="N99">
        <v>0.154</v>
      </c>
      <c r="O99">
        <v>0.17378401108106739</v>
      </c>
      <c r="P99">
        <v>1.9784011081067393E-2</v>
      </c>
      <c r="Q99">
        <v>96</v>
      </c>
    </row>
    <row r="100" spans="13:17" x14ac:dyDescent="0.2">
      <c r="M100" s="52">
        <v>43835</v>
      </c>
      <c r="N100">
        <v>0.35099999999999998</v>
      </c>
      <c r="O100">
        <v>0.25208582775973787</v>
      </c>
      <c r="P100">
        <v>-9.891417224026211E-2</v>
      </c>
      <c r="Q100">
        <v>97</v>
      </c>
    </row>
    <row r="101" spans="13:17" x14ac:dyDescent="0.2">
      <c r="M101" s="52">
        <v>43835.041666666664</v>
      </c>
      <c r="N101">
        <v>0.48699999999999999</v>
      </c>
      <c r="O101">
        <v>0.3635307330353752</v>
      </c>
      <c r="P101">
        <v>-0.12346926696462479</v>
      </c>
      <c r="Q101">
        <v>98</v>
      </c>
    </row>
    <row r="102" spans="13:17" x14ac:dyDescent="0.2">
      <c r="M102" s="52">
        <v>43835.083333333336</v>
      </c>
      <c r="N102">
        <v>0.52700000000000002</v>
      </c>
      <c r="O102">
        <v>0.4010326670507981</v>
      </c>
      <c r="P102">
        <v>-0.12596733294920193</v>
      </c>
      <c r="Q102">
        <v>99</v>
      </c>
    </row>
    <row r="103" spans="13:17" x14ac:dyDescent="0.2">
      <c r="M103" s="52">
        <v>43835.125</v>
      </c>
      <c r="N103">
        <v>0.46</v>
      </c>
      <c r="O103">
        <v>0.32470831763083102</v>
      </c>
      <c r="P103">
        <v>-0.135291682369169</v>
      </c>
      <c r="Q103">
        <v>100</v>
      </c>
    </row>
    <row r="104" spans="13:17" x14ac:dyDescent="0.2">
      <c r="M104" s="52">
        <v>43835.166666666664</v>
      </c>
      <c r="N104">
        <v>0.29899999999999999</v>
      </c>
      <c r="O104">
        <v>0.20104566356690556</v>
      </c>
      <c r="P104">
        <v>-9.7954336433094424E-2</v>
      </c>
      <c r="Q104">
        <v>101</v>
      </c>
    </row>
    <row r="105" spans="13:17" x14ac:dyDescent="0.2">
      <c r="M105" s="52">
        <v>43835.208333333336</v>
      </c>
      <c r="N105">
        <v>8.3000000000000004E-2</v>
      </c>
      <c r="O105">
        <v>0.14002072937999457</v>
      </c>
      <c r="P105">
        <v>5.702072937999457E-2</v>
      </c>
      <c r="Q105">
        <v>102</v>
      </c>
    </row>
    <row r="106" spans="13:17" x14ac:dyDescent="0.2">
      <c r="M106" s="52">
        <v>43835.25</v>
      </c>
      <c r="N106">
        <v>0.14000000000000001</v>
      </c>
      <c r="O106">
        <v>0.19029363829111021</v>
      </c>
      <c r="P106">
        <v>5.0293638291110193E-2</v>
      </c>
      <c r="Q106">
        <v>103</v>
      </c>
    </row>
    <row r="107" spans="13:17" x14ac:dyDescent="0.2">
      <c r="M107" s="52">
        <v>43835.291666666664</v>
      </c>
      <c r="N107">
        <v>0.32</v>
      </c>
      <c r="O107">
        <v>0.29273253351545681</v>
      </c>
      <c r="P107">
        <v>-2.7267466484543201E-2</v>
      </c>
      <c r="Q107">
        <v>104</v>
      </c>
    </row>
    <row r="108" spans="13:17" x14ac:dyDescent="0.2">
      <c r="M108" s="52">
        <v>43835.333333333336</v>
      </c>
      <c r="N108">
        <v>0.41699999999999998</v>
      </c>
      <c r="O108">
        <v>0.33671598328319741</v>
      </c>
      <c r="P108">
        <v>-8.0284016716802575E-2</v>
      </c>
      <c r="Q108">
        <v>105</v>
      </c>
    </row>
    <row r="109" spans="13:17" x14ac:dyDescent="0.2">
      <c r="M109" s="52">
        <v>43835.375</v>
      </c>
      <c r="N109">
        <v>0.41599999999999998</v>
      </c>
      <c r="O109">
        <v>0.26546595041027476</v>
      </c>
      <c r="P109">
        <v>-0.15053404958972522</v>
      </c>
      <c r="Q109">
        <v>106</v>
      </c>
    </row>
    <row r="110" spans="13:17" x14ac:dyDescent="0.2">
      <c r="M110" s="52">
        <v>43835.416666666664</v>
      </c>
      <c r="N110">
        <v>0.32300000000000001</v>
      </c>
      <c r="O110">
        <v>0.12999416193583174</v>
      </c>
      <c r="P110">
        <v>-0.19300583806416827</v>
      </c>
      <c r="Q110">
        <v>107</v>
      </c>
    </row>
    <row r="111" spans="13:17" x14ac:dyDescent="0.2">
      <c r="M111" s="52">
        <v>43835.458333333336</v>
      </c>
      <c r="N111">
        <v>0.17100000000000001</v>
      </c>
      <c r="O111">
        <v>4.0557383330082658E-2</v>
      </c>
      <c r="P111">
        <v>-0.13044261666991736</v>
      </c>
      <c r="Q111">
        <v>108</v>
      </c>
    </row>
    <row r="112" spans="13:17" x14ac:dyDescent="0.2">
      <c r="M112" s="52">
        <v>43835.5</v>
      </c>
      <c r="N112">
        <v>4.0000000000000001E-3</v>
      </c>
      <c r="O112">
        <v>6.2428886487210011E-2</v>
      </c>
      <c r="P112">
        <v>5.8428886487210008E-2</v>
      </c>
      <c r="Q112">
        <v>109</v>
      </c>
    </row>
    <row r="113" spans="13:17" x14ac:dyDescent="0.2">
      <c r="M113" s="52">
        <v>43835.541666666664</v>
      </c>
      <c r="N113">
        <v>0.13200000000000001</v>
      </c>
      <c r="O113">
        <v>0.15563594330528496</v>
      </c>
      <c r="P113">
        <v>2.3635943305284957E-2</v>
      </c>
      <c r="Q113">
        <v>110</v>
      </c>
    </row>
    <row r="114" spans="13:17" x14ac:dyDescent="0.2">
      <c r="M114" s="52">
        <v>43835.583333333336</v>
      </c>
      <c r="N114">
        <v>0.19900000000000001</v>
      </c>
      <c r="O114">
        <v>0.21579077557405521</v>
      </c>
      <c r="P114">
        <v>1.67907755740552E-2</v>
      </c>
      <c r="Q114">
        <v>111</v>
      </c>
    </row>
    <row r="115" spans="13:17" x14ac:dyDescent="0.2">
      <c r="M115" s="52">
        <v>43835.625</v>
      </c>
      <c r="N115">
        <v>0.18099999999999999</v>
      </c>
      <c r="O115">
        <v>0.17625095854167847</v>
      </c>
      <c r="P115">
        <v>-4.749041458321529E-3</v>
      </c>
      <c r="Q115">
        <v>112</v>
      </c>
    </row>
    <row r="116" spans="13:17" x14ac:dyDescent="0.2">
      <c r="M116" s="52">
        <v>43835.666666666664</v>
      </c>
      <c r="N116">
        <v>8.5000000000000006E-2</v>
      </c>
      <c r="O116">
        <v>7.337698659976824E-2</v>
      </c>
      <c r="P116">
        <v>-1.1623013400231766E-2</v>
      </c>
      <c r="Q116">
        <v>113</v>
      </c>
    </row>
    <row r="117" spans="13:17" x14ac:dyDescent="0.2">
      <c r="M117" s="52">
        <v>43835.708333333336</v>
      </c>
      <c r="N117">
        <v>5.7000000000000002E-2</v>
      </c>
      <c r="O117">
        <v>1.2335346384122869E-2</v>
      </c>
      <c r="P117">
        <v>-4.4664653615877133E-2</v>
      </c>
      <c r="Q117">
        <v>114</v>
      </c>
    </row>
    <row r="118" spans="13:17" x14ac:dyDescent="0.2">
      <c r="M118" s="52">
        <v>43835.75</v>
      </c>
      <c r="N118">
        <v>0.20399999999999999</v>
      </c>
      <c r="O118">
        <v>6.6268063220682877E-2</v>
      </c>
      <c r="P118">
        <v>-0.13773193677931711</v>
      </c>
      <c r="Q118">
        <v>115</v>
      </c>
    </row>
    <row r="119" spans="13:17" x14ac:dyDescent="0.2">
      <c r="M119" s="52">
        <v>43835.791666666664</v>
      </c>
      <c r="N119">
        <v>0.308</v>
      </c>
      <c r="O119">
        <v>0.20534436440809531</v>
      </c>
      <c r="P119">
        <v>-0.10265563559190469</v>
      </c>
      <c r="Q119">
        <v>116</v>
      </c>
    </row>
    <row r="120" spans="13:17" x14ac:dyDescent="0.2">
      <c r="M120" s="52">
        <v>43835.833333333336</v>
      </c>
      <c r="N120">
        <v>0.33400000000000002</v>
      </c>
      <c r="O120">
        <v>0.32347523889897678</v>
      </c>
      <c r="P120">
        <v>-1.0524761101023239E-2</v>
      </c>
      <c r="Q120">
        <v>117</v>
      </c>
    </row>
    <row r="121" spans="13:17" x14ac:dyDescent="0.2">
      <c r="M121" s="52">
        <v>43835.875</v>
      </c>
      <c r="N121">
        <v>0.26700000000000002</v>
      </c>
      <c r="O121">
        <v>0.33709948424145691</v>
      </c>
      <c r="P121">
        <v>7.00994842414569E-2</v>
      </c>
      <c r="Q121">
        <v>118</v>
      </c>
    </row>
    <row r="122" spans="13:17" x14ac:dyDescent="0.2">
      <c r="M122" s="52">
        <v>43835.916666666664</v>
      </c>
      <c r="N122">
        <v>0.114</v>
      </c>
      <c r="O122">
        <v>0.26185962711636129</v>
      </c>
      <c r="P122">
        <v>0.1478596271163613</v>
      </c>
      <c r="Q122">
        <v>119</v>
      </c>
    </row>
    <row r="123" spans="13:17" x14ac:dyDescent="0.2">
      <c r="M123" s="52">
        <v>43835.958333333336</v>
      </c>
      <c r="N123">
        <v>9.1999999999999998E-2</v>
      </c>
      <c r="O123">
        <v>0.19454318287337855</v>
      </c>
      <c r="P123">
        <v>0.10254318287337855</v>
      </c>
      <c r="Q123">
        <v>120</v>
      </c>
    </row>
    <row r="124" spans="13:17" x14ac:dyDescent="0.2">
      <c r="M124" s="52">
        <v>43836</v>
      </c>
      <c r="N124">
        <v>0.30499999999999999</v>
      </c>
      <c r="O124">
        <v>0.21835932271488365</v>
      </c>
      <c r="P124">
        <v>-8.6640677285116346E-2</v>
      </c>
      <c r="Q124">
        <v>121</v>
      </c>
    </row>
    <row r="125" spans="13:17" x14ac:dyDescent="0.2">
      <c r="M125" s="52">
        <v>43836.041666666664</v>
      </c>
      <c r="N125">
        <v>0.47399999999999998</v>
      </c>
      <c r="O125">
        <v>0.32254342466402797</v>
      </c>
      <c r="P125">
        <v>-0.15145657533597201</v>
      </c>
      <c r="Q125">
        <v>122</v>
      </c>
    </row>
    <row r="126" spans="13:17" x14ac:dyDescent="0.2">
      <c r="M126" s="52">
        <v>43836.083333333336</v>
      </c>
      <c r="N126">
        <v>0.55700000000000005</v>
      </c>
      <c r="O126">
        <v>0.41294212006082143</v>
      </c>
      <c r="P126">
        <v>-0.14405787993917862</v>
      </c>
      <c r="Q126">
        <v>123</v>
      </c>
    </row>
    <row r="127" spans="13:17" x14ac:dyDescent="0.2">
      <c r="M127" s="52">
        <v>43836.125</v>
      </c>
      <c r="N127">
        <v>0.53400000000000003</v>
      </c>
      <c r="O127">
        <v>0.40282211706595561</v>
      </c>
      <c r="P127">
        <v>-0.13117788293404442</v>
      </c>
      <c r="Q127">
        <v>124</v>
      </c>
    </row>
    <row r="128" spans="13:17" x14ac:dyDescent="0.2">
      <c r="M128" s="52">
        <v>43836.166666666664</v>
      </c>
      <c r="N128">
        <v>0.40799999999999997</v>
      </c>
      <c r="O128">
        <v>0.29654077958868319</v>
      </c>
      <c r="P128">
        <v>-0.11145922041131678</v>
      </c>
      <c r="Q128">
        <v>125</v>
      </c>
    </row>
    <row r="129" spans="13:17" x14ac:dyDescent="0.2">
      <c r="M129" s="52">
        <v>43836.208333333336</v>
      </c>
      <c r="N129">
        <v>0.20799999999999999</v>
      </c>
      <c r="O129">
        <v>0.18599706261459209</v>
      </c>
      <c r="P129">
        <v>-2.20029373854079E-2</v>
      </c>
      <c r="Q129">
        <v>126</v>
      </c>
    </row>
    <row r="130" spans="13:17" x14ac:dyDescent="0.2">
      <c r="M130" s="52">
        <v>43836.25</v>
      </c>
      <c r="N130">
        <v>2.3E-2</v>
      </c>
      <c r="O130">
        <v>0.16351603439533219</v>
      </c>
      <c r="P130">
        <v>0.1405160343953322</v>
      </c>
      <c r="Q130">
        <v>127</v>
      </c>
    </row>
    <row r="131" spans="13:17" x14ac:dyDescent="0.2">
      <c r="M131" s="52">
        <v>43836.291666666664</v>
      </c>
      <c r="N131">
        <v>0.23200000000000001</v>
      </c>
      <c r="O131">
        <v>0.23462159617091077</v>
      </c>
      <c r="P131">
        <v>2.6215961709107616E-3</v>
      </c>
      <c r="Q131">
        <v>128</v>
      </c>
    </row>
    <row r="132" spans="13:17" x14ac:dyDescent="0.2">
      <c r="M132" s="52">
        <v>43836.333333333336</v>
      </c>
      <c r="N132">
        <v>0.376</v>
      </c>
      <c r="O132">
        <v>0.31385732952392276</v>
      </c>
      <c r="P132">
        <v>-6.2142670476077244E-2</v>
      </c>
      <c r="Q132">
        <v>129</v>
      </c>
    </row>
    <row r="133" spans="13:17" x14ac:dyDescent="0.2">
      <c r="M133" s="52">
        <v>43836.375</v>
      </c>
      <c r="N133">
        <v>0.42699999999999999</v>
      </c>
      <c r="O133">
        <v>0.30717472195866502</v>
      </c>
      <c r="P133">
        <v>-0.11982527804133497</v>
      </c>
      <c r="Q133">
        <v>130</v>
      </c>
    </row>
    <row r="134" spans="13:17" x14ac:dyDescent="0.2">
      <c r="M134" s="52">
        <v>43836.416666666664</v>
      </c>
      <c r="N134">
        <v>0.38300000000000001</v>
      </c>
      <c r="O134">
        <v>0.20189679360599422</v>
      </c>
      <c r="P134">
        <v>-0.18110320639400579</v>
      </c>
      <c r="Q134">
        <v>131</v>
      </c>
    </row>
    <row r="135" spans="13:17" x14ac:dyDescent="0.2">
      <c r="M135" s="52">
        <v>43836.458333333336</v>
      </c>
      <c r="N135">
        <v>0.26500000000000001</v>
      </c>
      <c r="O135">
        <v>7.8610403263569412E-2</v>
      </c>
      <c r="P135">
        <v>-0.1863895967364306</v>
      </c>
      <c r="Q135">
        <v>132</v>
      </c>
    </row>
    <row r="136" spans="13:17" x14ac:dyDescent="0.2">
      <c r="M136" s="52">
        <v>43836.5</v>
      </c>
      <c r="N136">
        <v>0.11</v>
      </c>
      <c r="O136">
        <v>3.4370235672665922E-2</v>
      </c>
      <c r="P136">
        <v>-7.5629764327334079E-2</v>
      </c>
      <c r="Q136">
        <v>133</v>
      </c>
    </row>
    <row r="137" spans="13:17" x14ac:dyDescent="0.2">
      <c r="M137" s="52">
        <v>43836.541666666664</v>
      </c>
      <c r="N137">
        <v>3.4000000000000002E-2</v>
      </c>
      <c r="O137">
        <v>9.1171047230696411E-2</v>
      </c>
      <c r="P137">
        <v>5.7171047230696409E-2</v>
      </c>
      <c r="Q137">
        <v>134</v>
      </c>
    </row>
    <row r="138" spans="13:17" x14ac:dyDescent="0.2">
      <c r="M138" s="52">
        <v>43836.583333333336</v>
      </c>
      <c r="N138">
        <v>0.128</v>
      </c>
      <c r="O138">
        <v>0.1770346729825592</v>
      </c>
      <c r="P138">
        <v>4.9034672982559202E-2</v>
      </c>
      <c r="Q138">
        <v>135</v>
      </c>
    </row>
    <row r="139" spans="13:17" x14ac:dyDescent="0.2">
      <c r="M139" s="52">
        <v>43836.625</v>
      </c>
      <c r="N139">
        <v>0.14799999999999999</v>
      </c>
      <c r="O139">
        <v>0.19704045232648235</v>
      </c>
      <c r="P139">
        <v>4.9040452326482353E-2</v>
      </c>
      <c r="Q139">
        <v>136</v>
      </c>
    </row>
    <row r="140" spans="13:17" x14ac:dyDescent="0.2">
      <c r="M140" s="52">
        <v>43836.666666666664</v>
      </c>
      <c r="N140">
        <v>8.8999999999999996E-2</v>
      </c>
      <c r="O140">
        <v>0.12564109310763805</v>
      </c>
      <c r="P140">
        <v>3.6641093107638051E-2</v>
      </c>
      <c r="Q140">
        <v>137</v>
      </c>
    </row>
    <row r="141" spans="13:17" x14ac:dyDescent="0.2">
      <c r="M141" s="52">
        <v>43836.708333333336</v>
      </c>
      <c r="N141">
        <v>2.5999999999999999E-2</v>
      </c>
      <c r="O141">
        <v>3.1807335709190143E-2</v>
      </c>
      <c r="P141">
        <v>5.8073357091901444E-3</v>
      </c>
      <c r="Q141">
        <v>138</v>
      </c>
    </row>
    <row r="142" spans="13:17" x14ac:dyDescent="0.2">
      <c r="M142" s="52">
        <v>43836.75</v>
      </c>
      <c r="N142">
        <v>0.16200000000000001</v>
      </c>
      <c r="O142">
        <v>1.3308046947095281E-2</v>
      </c>
      <c r="P142">
        <v>-0.14869195305290472</v>
      </c>
      <c r="Q142">
        <v>139</v>
      </c>
    </row>
    <row r="143" spans="13:17" x14ac:dyDescent="0.2">
      <c r="M143" s="52">
        <v>43836.791666666664</v>
      </c>
      <c r="N143">
        <v>0.27400000000000002</v>
      </c>
      <c r="O143">
        <v>0.10331526516305829</v>
      </c>
      <c r="P143">
        <v>-0.17068473483694174</v>
      </c>
      <c r="Q143">
        <v>140</v>
      </c>
    </row>
    <row r="144" spans="13:17" x14ac:dyDescent="0.2">
      <c r="M144" s="52">
        <v>43836.833333333336</v>
      </c>
      <c r="N144">
        <v>0.32300000000000001</v>
      </c>
      <c r="O144">
        <v>0.23848103763971731</v>
      </c>
      <c r="P144">
        <v>-8.4518962360282696E-2</v>
      </c>
      <c r="Q144">
        <v>141</v>
      </c>
    </row>
    <row r="145" spans="13:17" x14ac:dyDescent="0.2">
      <c r="M145" s="52">
        <v>43836.875</v>
      </c>
      <c r="N145">
        <v>0.28599999999999998</v>
      </c>
      <c r="O145">
        <v>0.31840489201026501</v>
      </c>
      <c r="P145">
        <v>3.240489201026503E-2</v>
      </c>
      <c r="Q145">
        <v>142</v>
      </c>
    </row>
    <row r="146" spans="13:17" x14ac:dyDescent="0.2">
      <c r="M146" s="52">
        <v>43836.916666666664</v>
      </c>
      <c r="N146">
        <v>0.16200000000000001</v>
      </c>
      <c r="O146">
        <v>0.29917711847806994</v>
      </c>
      <c r="P146">
        <v>0.13717711847806993</v>
      </c>
      <c r="Q146">
        <v>143</v>
      </c>
    </row>
    <row r="147" spans="13:17" x14ac:dyDescent="0.2">
      <c r="M147" s="52">
        <v>43836.958333333336</v>
      </c>
      <c r="N147">
        <v>2.7E-2</v>
      </c>
      <c r="O147">
        <v>0.23183561465000288</v>
      </c>
      <c r="P147">
        <v>0.20483561465000288</v>
      </c>
      <c r="Q147">
        <v>144</v>
      </c>
    </row>
    <row r="148" spans="13:17" x14ac:dyDescent="0.2">
      <c r="M148" s="52">
        <v>43837</v>
      </c>
      <c r="N148">
        <v>0.24</v>
      </c>
      <c r="O148">
        <v>0.2099591218764362</v>
      </c>
      <c r="P148">
        <v>-3.0040878123563791E-2</v>
      </c>
      <c r="Q148">
        <v>145</v>
      </c>
    </row>
    <row r="149" spans="13:17" x14ac:dyDescent="0.2">
      <c r="M149" s="52">
        <v>43837.041666666664</v>
      </c>
      <c r="N149">
        <v>0.42799999999999999</v>
      </c>
      <c r="O149">
        <v>0.27755358349675474</v>
      </c>
      <c r="P149">
        <v>-0.15044641650324525</v>
      </c>
      <c r="Q149">
        <v>146</v>
      </c>
    </row>
    <row r="150" spans="13:17" x14ac:dyDescent="0.2">
      <c r="M150" s="52">
        <v>43837.083333333336</v>
      </c>
      <c r="N150">
        <v>0.54800000000000004</v>
      </c>
      <c r="O150">
        <v>0.38568642780995571</v>
      </c>
      <c r="P150">
        <v>-0.16231357219004433</v>
      </c>
      <c r="Q150">
        <v>147</v>
      </c>
    </row>
    <row r="151" spans="13:17" x14ac:dyDescent="0.2">
      <c r="M151" s="52">
        <v>43837.125</v>
      </c>
      <c r="N151">
        <v>0.56999999999999995</v>
      </c>
      <c r="O151">
        <v>0.43891461656321973</v>
      </c>
      <c r="P151">
        <v>-0.13108538343678022</v>
      </c>
      <c r="Q151">
        <v>148</v>
      </c>
    </row>
    <row r="152" spans="13:17" x14ac:dyDescent="0.2">
      <c r="M152" s="52">
        <v>43837.166666666664</v>
      </c>
      <c r="N152">
        <v>0.48799999999999999</v>
      </c>
      <c r="O152">
        <v>0.38646295304166017</v>
      </c>
      <c r="P152">
        <v>-0.10153704695833982</v>
      </c>
      <c r="Q152">
        <v>149</v>
      </c>
    </row>
    <row r="153" spans="13:17" x14ac:dyDescent="0.2">
      <c r="M153" s="52">
        <v>43837.208333333336</v>
      </c>
      <c r="N153">
        <v>0.32</v>
      </c>
      <c r="O153">
        <v>0.27079426469289963</v>
      </c>
      <c r="P153">
        <v>-4.9205735307100373E-2</v>
      </c>
      <c r="Q153">
        <v>150</v>
      </c>
    </row>
    <row r="154" spans="13:17" x14ac:dyDescent="0.2">
      <c r="M154" s="52">
        <v>43837.25</v>
      </c>
      <c r="N154">
        <v>0.10199999999999999</v>
      </c>
      <c r="O154">
        <v>0.18758100176013015</v>
      </c>
      <c r="P154">
        <v>8.5581001760130157E-2</v>
      </c>
      <c r="Q154">
        <v>151</v>
      </c>
    </row>
    <row r="155" spans="13:17" x14ac:dyDescent="0.2">
      <c r="M155" s="52">
        <v>43837.291666666664</v>
      </c>
      <c r="N155">
        <v>0.11700000000000001</v>
      </c>
      <c r="O155">
        <v>0.1958768641330205</v>
      </c>
      <c r="P155">
        <v>7.8876864133020488E-2</v>
      </c>
      <c r="Q155">
        <v>152</v>
      </c>
    </row>
    <row r="156" spans="13:17" x14ac:dyDescent="0.2">
      <c r="M156" s="52">
        <v>43837.333333333336</v>
      </c>
      <c r="N156">
        <v>0.29299999999999998</v>
      </c>
      <c r="O156">
        <v>0.26426307524697407</v>
      </c>
      <c r="P156">
        <v>-2.8736924753025916E-2</v>
      </c>
      <c r="Q156">
        <v>153</v>
      </c>
    </row>
    <row r="157" spans="13:17" x14ac:dyDescent="0.2">
      <c r="M157" s="52">
        <v>43837.375</v>
      </c>
      <c r="N157">
        <v>0.39</v>
      </c>
      <c r="O157">
        <v>0.30355939679615096</v>
      </c>
      <c r="P157">
        <v>-8.6440603203849053E-2</v>
      </c>
      <c r="Q157">
        <v>154</v>
      </c>
    </row>
    <row r="158" spans="13:17" x14ac:dyDescent="0.2">
      <c r="M158" s="52">
        <v>43837.416666666664</v>
      </c>
      <c r="N158">
        <v>0.39700000000000002</v>
      </c>
      <c r="O158">
        <v>0.25376083903436786</v>
      </c>
      <c r="P158">
        <v>-0.14323916096563216</v>
      </c>
      <c r="Q158">
        <v>155</v>
      </c>
    </row>
    <row r="159" spans="13:17" x14ac:dyDescent="0.2">
      <c r="M159" s="52">
        <v>43837.458333333336</v>
      </c>
      <c r="N159">
        <v>0.32300000000000001</v>
      </c>
      <c r="O159">
        <v>0.14171003609598887</v>
      </c>
      <c r="P159">
        <v>-0.18128996390401114</v>
      </c>
      <c r="Q159">
        <v>156</v>
      </c>
    </row>
    <row r="160" spans="13:17" x14ac:dyDescent="0.2">
      <c r="M160" s="52">
        <v>43837.5</v>
      </c>
      <c r="N160">
        <v>0.19800000000000001</v>
      </c>
      <c r="O160">
        <v>5.4985289973265877E-2</v>
      </c>
      <c r="P160">
        <v>-0.14301471002673413</v>
      </c>
      <c r="Q160">
        <v>157</v>
      </c>
    </row>
    <row r="161" spans="13:17" x14ac:dyDescent="0.2">
      <c r="M161" s="52">
        <v>43837.541666666664</v>
      </c>
      <c r="N161">
        <v>6.2E-2</v>
      </c>
      <c r="O161">
        <v>5.8022224094406993E-2</v>
      </c>
      <c r="P161">
        <v>-3.9777759055930062E-3</v>
      </c>
      <c r="Q161">
        <v>158</v>
      </c>
    </row>
    <row r="162" spans="13:17" x14ac:dyDescent="0.2">
      <c r="M162" s="52">
        <v>43837.583333333336</v>
      </c>
      <c r="N162">
        <v>4.3999999999999997E-2</v>
      </c>
      <c r="O162">
        <v>0.13124167466632747</v>
      </c>
      <c r="P162">
        <v>8.7241674666327471E-2</v>
      </c>
      <c r="Q162">
        <v>159</v>
      </c>
    </row>
    <row r="163" spans="13:17" x14ac:dyDescent="0.2">
      <c r="M163" s="52">
        <v>43837.625</v>
      </c>
      <c r="N163">
        <v>0.09</v>
      </c>
      <c r="O163">
        <v>0.19106425141053449</v>
      </c>
      <c r="P163">
        <v>0.10106425141053449</v>
      </c>
      <c r="Q163">
        <v>160</v>
      </c>
    </row>
    <row r="164" spans="13:17" x14ac:dyDescent="0.2">
      <c r="M164" s="52">
        <v>43837.666666666664</v>
      </c>
      <c r="N164">
        <v>6.6000000000000003E-2</v>
      </c>
      <c r="O164">
        <v>0.1708985675395695</v>
      </c>
      <c r="P164">
        <v>0.1048985675395695</v>
      </c>
      <c r="Q164">
        <v>161</v>
      </c>
    </row>
    <row r="165" spans="13:17" x14ac:dyDescent="0.2">
      <c r="M165" s="52">
        <v>43837.708333333336</v>
      </c>
      <c r="N165">
        <v>1.7999999999999999E-2</v>
      </c>
      <c r="O165">
        <v>8.5278119568323957E-2</v>
      </c>
      <c r="P165">
        <v>6.7278119568323955E-2</v>
      </c>
      <c r="Q165">
        <v>162</v>
      </c>
    </row>
    <row r="166" spans="13:17" x14ac:dyDescent="0.2">
      <c r="M166" s="52">
        <v>43837.75</v>
      </c>
      <c r="N166">
        <v>0.13300000000000001</v>
      </c>
      <c r="O166">
        <v>1.6218570535099175E-2</v>
      </c>
      <c r="P166">
        <v>-0.11678142946490083</v>
      </c>
      <c r="Q166">
        <v>163</v>
      </c>
    </row>
    <row r="167" spans="13:17" x14ac:dyDescent="0.2">
      <c r="M167" s="52">
        <v>43837.791666666664</v>
      </c>
      <c r="N167">
        <v>0.24099999999999999</v>
      </c>
      <c r="O167">
        <v>3.5558295345533508E-2</v>
      </c>
      <c r="P167">
        <v>-0.20544170465446648</v>
      </c>
      <c r="Q167">
        <v>164</v>
      </c>
    </row>
    <row r="168" spans="13:17" x14ac:dyDescent="0.2">
      <c r="M168" s="52">
        <v>43837.833333333336</v>
      </c>
      <c r="N168">
        <v>0.30299999999999999</v>
      </c>
      <c r="O168">
        <v>0.13769230321414758</v>
      </c>
      <c r="P168">
        <v>-0.16530769678585241</v>
      </c>
      <c r="Q168">
        <v>165</v>
      </c>
    </row>
    <row r="169" spans="13:17" x14ac:dyDescent="0.2">
      <c r="M169" s="52">
        <v>43837.875</v>
      </c>
      <c r="N169">
        <v>0.29099999999999998</v>
      </c>
      <c r="O169">
        <v>0.24618683481649972</v>
      </c>
      <c r="P169">
        <v>-4.4813165183500259E-2</v>
      </c>
      <c r="Q169">
        <v>166</v>
      </c>
    </row>
    <row r="170" spans="13:17" x14ac:dyDescent="0.2">
      <c r="M170" s="52">
        <v>43837.916666666664</v>
      </c>
      <c r="N170">
        <v>0.19700000000000001</v>
      </c>
      <c r="O170">
        <v>0.28665418741988014</v>
      </c>
      <c r="P170">
        <v>8.9654187419880127E-2</v>
      </c>
      <c r="Q170">
        <v>167</v>
      </c>
    </row>
    <row r="171" spans="13:17" x14ac:dyDescent="0.2">
      <c r="M171" s="52">
        <v>43837.958333333336</v>
      </c>
      <c r="N171">
        <v>3.3000000000000002E-2</v>
      </c>
      <c r="O171">
        <v>0.25549496405479061</v>
      </c>
      <c r="P171">
        <v>0.22249496405479061</v>
      </c>
      <c r="Q171">
        <v>168</v>
      </c>
    </row>
    <row r="172" spans="13:17" x14ac:dyDescent="0.2">
      <c r="M172" s="52">
        <v>43838</v>
      </c>
      <c r="N172">
        <v>0.16800000000000001</v>
      </c>
      <c r="O172">
        <v>0.2192884412200487</v>
      </c>
      <c r="P172">
        <v>5.1288441220048692E-2</v>
      </c>
      <c r="Q172">
        <v>169</v>
      </c>
    </row>
    <row r="173" spans="13:17" x14ac:dyDescent="0.2">
      <c r="M173" s="52">
        <v>43838.041666666664</v>
      </c>
      <c r="N173">
        <v>0.36299999999999999</v>
      </c>
      <c r="O173">
        <v>0.24678672382492411</v>
      </c>
      <c r="P173">
        <v>-0.11621327617507587</v>
      </c>
      <c r="Q173">
        <v>170</v>
      </c>
    </row>
    <row r="174" spans="13:17" x14ac:dyDescent="0.2">
      <c r="M174" s="52">
        <v>43838.083333333336</v>
      </c>
      <c r="N174">
        <v>0.50900000000000001</v>
      </c>
      <c r="O174">
        <v>0.33974472399663547</v>
      </c>
      <c r="P174">
        <v>-0.16925527600336454</v>
      </c>
      <c r="Q174">
        <v>171</v>
      </c>
    </row>
    <row r="175" spans="13:17" x14ac:dyDescent="0.2">
      <c r="M175" s="52">
        <v>43838.125</v>
      </c>
      <c r="N175">
        <v>0.57199999999999995</v>
      </c>
      <c r="O175">
        <v>0.42900810214076512</v>
      </c>
      <c r="P175">
        <v>-0.14299189785923483</v>
      </c>
      <c r="Q175">
        <v>172</v>
      </c>
    </row>
    <row r="176" spans="13:17" x14ac:dyDescent="0.2">
      <c r="M176" s="52">
        <v>43838.166666666664</v>
      </c>
      <c r="N176">
        <v>0.53600000000000003</v>
      </c>
      <c r="O176">
        <v>0.43913716829313931</v>
      </c>
      <c r="P176">
        <v>-9.6862831706860719E-2</v>
      </c>
      <c r="Q176">
        <v>173</v>
      </c>
    </row>
    <row r="177" spans="13:17" x14ac:dyDescent="0.2">
      <c r="M177" s="52">
        <v>43838.208333333336</v>
      </c>
      <c r="N177">
        <v>0.41</v>
      </c>
      <c r="O177">
        <v>0.35942995033134056</v>
      </c>
      <c r="P177">
        <v>-5.0570049668659411E-2</v>
      </c>
      <c r="Q177">
        <v>174</v>
      </c>
    </row>
    <row r="178" spans="13:17" x14ac:dyDescent="0.2">
      <c r="M178" s="52">
        <v>43838.25</v>
      </c>
      <c r="N178">
        <v>0.221</v>
      </c>
      <c r="O178">
        <v>0.25384281194674785</v>
      </c>
      <c r="P178">
        <v>3.2842811946747846E-2</v>
      </c>
      <c r="Q178">
        <v>175</v>
      </c>
    </row>
    <row r="179" spans="13:17" x14ac:dyDescent="0.2">
      <c r="M179" s="52">
        <v>43838.291666666664</v>
      </c>
      <c r="N179">
        <v>8.9999999999999993E-3</v>
      </c>
      <c r="O179">
        <v>0.20120578302415015</v>
      </c>
      <c r="P179">
        <v>0.19220578302415015</v>
      </c>
      <c r="Q179">
        <v>176</v>
      </c>
    </row>
    <row r="180" spans="13:17" x14ac:dyDescent="0.2">
      <c r="M180" s="52">
        <v>43838.333333333336</v>
      </c>
      <c r="N180">
        <v>0.18099999999999999</v>
      </c>
      <c r="O180">
        <v>0.22328283690286232</v>
      </c>
      <c r="P180">
        <v>4.2282836902862331E-2</v>
      </c>
      <c r="Q180">
        <v>177</v>
      </c>
    </row>
    <row r="181" spans="13:17" x14ac:dyDescent="0.2">
      <c r="M181" s="52">
        <v>43838.375</v>
      </c>
      <c r="N181">
        <v>0.313</v>
      </c>
      <c r="O181">
        <v>0.26863615153652248</v>
      </c>
      <c r="P181">
        <v>-4.4363848463477518E-2</v>
      </c>
      <c r="Q181">
        <v>178</v>
      </c>
    </row>
    <row r="182" spans="13:17" x14ac:dyDescent="0.2">
      <c r="M182" s="52">
        <v>43838.416666666664</v>
      </c>
      <c r="N182">
        <v>0.36599999999999999</v>
      </c>
      <c r="O182">
        <v>0.26598704498216003</v>
      </c>
      <c r="P182">
        <v>-0.10001295501783997</v>
      </c>
      <c r="Q182">
        <v>179</v>
      </c>
    </row>
    <row r="183" spans="13:17" x14ac:dyDescent="0.2">
      <c r="M183" s="52">
        <v>43838.458333333336</v>
      </c>
      <c r="N183">
        <v>0.34100000000000003</v>
      </c>
      <c r="O183">
        <v>0.19456270869507236</v>
      </c>
      <c r="P183">
        <v>-0.14643729130492766</v>
      </c>
      <c r="Q183">
        <v>180</v>
      </c>
    </row>
    <row r="184" spans="13:17" x14ac:dyDescent="0.2">
      <c r="M184" s="52">
        <v>43838.5</v>
      </c>
      <c r="N184">
        <v>0.25600000000000001</v>
      </c>
      <c r="O184">
        <v>0.10394393432440008</v>
      </c>
      <c r="P184">
        <v>-0.15205606567559993</v>
      </c>
      <c r="Q184">
        <v>181</v>
      </c>
    </row>
    <row r="185" spans="13:17" x14ac:dyDescent="0.2">
      <c r="M185" s="52">
        <v>43838.541666666664</v>
      </c>
      <c r="N185">
        <v>0.14399999999999999</v>
      </c>
      <c r="O185">
        <v>6.547701101874559E-2</v>
      </c>
      <c r="P185">
        <v>-7.8522988981254399E-2</v>
      </c>
      <c r="Q185">
        <v>182</v>
      </c>
    </row>
    <row r="186" spans="13:17" x14ac:dyDescent="0.2">
      <c r="M186" s="52">
        <v>43838.583333333336</v>
      </c>
      <c r="N186">
        <v>4.2999999999999997E-2</v>
      </c>
      <c r="O186">
        <v>0.10302124060519946</v>
      </c>
      <c r="P186">
        <v>6.0021240605199463E-2</v>
      </c>
      <c r="Q186">
        <v>183</v>
      </c>
    </row>
    <row r="187" spans="13:17" x14ac:dyDescent="0.2">
      <c r="M187" s="52">
        <v>43838.625</v>
      </c>
      <c r="N187">
        <v>1.7999999999999999E-2</v>
      </c>
      <c r="O187">
        <v>0.16979111097969674</v>
      </c>
      <c r="P187">
        <v>0.15179111097969675</v>
      </c>
      <c r="Q187">
        <v>184</v>
      </c>
    </row>
    <row r="188" spans="13:17" x14ac:dyDescent="0.2">
      <c r="M188" s="52">
        <v>43838.666666666664</v>
      </c>
      <c r="N188">
        <v>2.1000000000000001E-2</v>
      </c>
      <c r="O188">
        <v>0.19305138635799168</v>
      </c>
      <c r="P188">
        <v>0.17205138635799169</v>
      </c>
      <c r="Q188">
        <v>185</v>
      </c>
    </row>
    <row r="189" spans="13:17" x14ac:dyDescent="0.2">
      <c r="M189" s="52">
        <v>43838.708333333336</v>
      </c>
      <c r="N189">
        <v>3.3000000000000002E-2</v>
      </c>
      <c r="O189">
        <v>0.14340671667468552</v>
      </c>
      <c r="P189">
        <v>0.11040671667468552</v>
      </c>
      <c r="Q189">
        <v>186</v>
      </c>
    </row>
    <row r="190" spans="13:17" x14ac:dyDescent="0.2">
      <c r="M190" s="52">
        <v>43838.75</v>
      </c>
      <c r="N190">
        <v>0.123</v>
      </c>
      <c r="O190">
        <v>6.2636575226645452E-2</v>
      </c>
      <c r="P190">
        <v>-6.0363424773354546E-2</v>
      </c>
      <c r="Q190">
        <v>187</v>
      </c>
    </row>
    <row r="191" spans="13:17" x14ac:dyDescent="0.2">
      <c r="M191" s="52">
        <v>43838.791666666664</v>
      </c>
      <c r="N191">
        <v>0.218</v>
      </c>
      <c r="O191">
        <v>2.4388277107220691E-2</v>
      </c>
      <c r="P191">
        <v>-0.19361172289277931</v>
      </c>
      <c r="Q191">
        <v>188</v>
      </c>
    </row>
    <row r="192" spans="13:17" x14ac:dyDescent="0.2">
      <c r="M192" s="52">
        <v>43838.833333333336</v>
      </c>
      <c r="N192">
        <v>0.28299999999999997</v>
      </c>
      <c r="O192">
        <v>6.6021366984265528E-2</v>
      </c>
      <c r="P192">
        <v>-0.21697863301573445</v>
      </c>
      <c r="Q192">
        <v>189</v>
      </c>
    </row>
    <row r="193" spans="13:17" x14ac:dyDescent="0.2">
      <c r="M193" s="52">
        <v>43838.875</v>
      </c>
      <c r="N193">
        <v>0.28899999999999998</v>
      </c>
      <c r="O193">
        <v>0.15627131183546991</v>
      </c>
      <c r="P193">
        <v>-0.13272868816453007</v>
      </c>
      <c r="Q193">
        <v>190</v>
      </c>
    </row>
    <row r="194" spans="13:17" x14ac:dyDescent="0.2">
      <c r="M194" s="52">
        <v>43838.916666666664</v>
      </c>
      <c r="N194">
        <v>0.223</v>
      </c>
      <c r="O194">
        <v>0.22792253026336126</v>
      </c>
      <c r="P194">
        <v>4.9225302633612578E-3</v>
      </c>
      <c r="Q194">
        <v>191</v>
      </c>
    </row>
    <row r="195" spans="13:17" x14ac:dyDescent="0.2">
      <c r="M195" s="52">
        <v>43838.958333333336</v>
      </c>
      <c r="N195">
        <v>8.7999999999999995E-2</v>
      </c>
      <c r="O195">
        <v>0.24239806457535384</v>
      </c>
      <c r="P195">
        <v>0.15439806457535385</v>
      </c>
      <c r="Q195">
        <v>192</v>
      </c>
    </row>
    <row r="196" spans="13:17" x14ac:dyDescent="0.2">
      <c r="M196" s="52">
        <v>43839</v>
      </c>
      <c r="N196">
        <v>9.4E-2</v>
      </c>
      <c r="O196">
        <v>0.22386046012063593</v>
      </c>
      <c r="P196">
        <v>0.12986046012063593</v>
      </c>
      <c r="Q196">
        <v>193</v>
      </c>
    </row>
    <row r="197" spans="13:17" x14ac:dyDescent="0.2">
      <c r="M197" s="52">
        <v>43839.041666666664</v>
      </c>
      <c r="N197">
        <v>0.28499999999999998</v>
      </c>
      <c r="O197">
        <v>0.23118429981482869</v>
      </c>
      <c r="P197">
        <v>-5.3815700185171289E-2</v>
      </c>
      <c r="Q197">
        <v>194</v>
      </c>
    </row>
    <row r="198" spans="13:17" x14ac:dyDescent="0.2">
      <c r="M198" s="52">
        <v>43839.083333333336</v>
      </c>
      <c r="N198">
        <v>0.44600000000000001</v>
      </c>
      <c r="O198">
        <v>0.2963483031470957</v>
      </c>
      <c r="P198">
        <v>-0.1496516968529043</v>
      </c>
      <c r="Q198">
        <v>195</v>
      </c>
    </row>
    <row r="199" spans="13:17" x14ac:dyDescent="0.2">
      <c r="M199" s="52">
        <v>43839.125</v>
      </c>
      <c r="N199">
        <v>0.54200000000000004</v>
      </c>
      <c r="O199">
        <v>0.38940964634397657</v>
      </c>
      <c r="P199">
        <v>-0.15259035365602347</v>
      </c>
      <c r="Q199">
        <v>196</v>
      </c>
    </row>
    <row r="200" spans="13:17" x14ac:dyDescent="0.2">
      <c r="M200" s="52">
        <v>43839.166666666664</v>
      </c>
      <c r="N200">
        <v>0.55200000000000005</v>
      </c>
      <c r="O200">
        <v>0.4437438554446077</v>
      </c>
      <c r="P200">
        <v>-0.10825614455539234</v>
      </c>
      <c r="Q200">
        <v>197</v>
      </c>
    </row>
    <row r="201" spans="13:17" x14ac:dyDescent="0.2">
      <c r="M201" s="52">
        <v>43839.208333333336</v>
      </c>
      <c r="N201">
        <v>0.47399999999999998</v>
      </c>
      <c r="O201">
        <v>0.41710615348899094</v>
      </c>
      <c r="P201">
        <v>-5.6893846511009039E-2</v>
      </c>
      <c r="Q201">
        <v>198</v>
      </c>
    </row>
    <row r="202" spans="13:17" x14ac:dyDescent="0.2">
      <c r="M202" s="52">
        <v>43839.25</v>
      </c>
      <c r="N202">
        <v>0.32600000000000001</v>
      </c>
      <c r="O202">
        <v>0.33030614072589964</v>
      </c>
      <c r="P202">
        <v>4.306140725899632E-3</v>
      </c>
      <c r="Q202">
        <v>199</v>
      </c>
    </row>
    <row r="203" spans="13:17" x14ac:dyDescent="0.2">
      <c r="M203" s="52">
        <v>43839.291666666664</v>
      </c>
      <c r="N203">
        <v>0.13800000000000001</v>
      </c>
      <c r="O203">
        <v>0.24748978611028821</v>
      </c>
      <c r="P203">
        <v>0.1094897861102882</v>
      </c>
      <c r="Q203">
        <v>200</v>
      </c>
    </row>
    <row r="204" spans="13:17" x14ac:dyDescent="0.2">
      <c r="M204" s="52">
        <v>43839.333333333336</v>
      </c>
      <c r="N204">
        <v>5.0999999999999997E-2</v>
      </c>
      <c r="O204">
        <v>0.21785658905021085</v>
      </c>
      <c r="P204">
        <v>0.16685658905021086</v>
      </c>
      <c r="Q204">
        <v>201</v>
      </c>
    </row>
    <row r="205" spans="13:17" x14ac:dyDescent="0.2">
      <c r="M205" s="52">
        <v>43839.375</v>
      </c>
      <c r="N205">
        <v>0.20399999999999999</v>
      </c>
      <c r="O205">
        <v>0.23432648806557241</v>
      </c>
      <c r="P205">
        <v>3.0326488065572421E-2</v>
      </c>
      <c r="Q205">
        <v>202</v>
      </c>
    </row>
    <row r="206" spans="13:17" x14ac:dyDescent="0.2">
      <c r="M206" s="52">
        <v>43839.416666666664</v>
      </c>
      <c r="N206">
        <v>0.29499999999999998</v>
      </c>
      <c r="O206">
        <v>0.24688623058572209</v>
      </c>
      <c r="P206">
        <v>-4.811376941427789E-2</v>
      </c>
      <c r="Q206">
        <v>203</v>
      </c>
    </row>
    <row r="207" spans="13:17" x14ac:dyDescent="0.2">
      <c r="M207" s="52">
        <v>43839.458333333336</v>
      </c>
      <c r="N207">
        <v>0.318</v>
      </c>
      <c r="O207">
        <v>0.21541053893790066</v>
      </c>
      <c r="P207">
        <v>-0.10258946106209935</v>
      </c>
      <c r="Q207">
        <v>204</v>
      </c>
    </row>
    <row r="208" spans="13:17" x14ac:dyDescent="0.2">
      <c r="M208" s="52">
        <v>43839.5</v>
      </c>
      <c r="N208">
        <v>0.27900000000000003</v>
      </c>
      <c r="O208">
        <v>0.14990958614519043</v>
      </c>
      <c r="P208">
        <v>-0.1290904138548096</v>
      </c>
      <c r="Q208">
        <v>205</v>
      </c>
    </row>
    <row r="209" spans="13:17" x14ac:dyDescent="0.2">
      <c r="M209" s="52">
        <v>43839.541666666664</v>
      </c>
      <c r="N209">
        <v>0.20300000000000001</v>
      </c>
      <c r="O209">
        <v>9.996057183406612E-2</v>
      </c>
      <c r="P209">
        <v>-0.10303942816593389</v>
      </c>
      <c r="Q209">
        <v>206</v>
      </c>
    </row>
    <row r="210" spans="13:17" x14ac:dyDescent="0.2">
      <c r="M210" s="52">
        <v>43839.583333333336</v>
      </c>
      <c r="N210">
        <v>0.12</v>
      </c>
      <c r="O210">
        <v>0.10495753801626795</v>
      </c>
      <c r="P210">
        <v>-1.5042461983732047E-2</v>
      </c>
      <c r="Q210">
        <v>207</v>
      </c>
    </row>
    <row r="211" spans="13:17" x14ac:dyDescent="0.2">
      <c r="M211" s="52">
        <v>43839.625</v>
      </c>
      <c r="N211">
        <v>5.8000000000000003E-2</v>
      </c>
      <c r="O211">
        <v>0.15421698759376917</v>
      </c>
      <c r="P211">
        <v>9.6216987593769177E-2</v>
      </c>
      <c r="Q211">
        <v>208</v>
      </c>
    </row>
    <row r="212" spans="13:17" x14ac:dyDescent="0.2">
      <c r="M212" s="52">
        <v>43839.666666666664</v>
      </c>
      <c r="N212">
        <v>3.6999999999999998E-2</v>
      </c>
      <c r="O212">
        <v>0.19554186276827104</v>
      </c>
      <c r="P212">
        <v>0.15854186276827104</v>
      </c>
      <c r="Q212">
        <v>209</v>
      </c>
    </row>
    <row r="213" spans="13:17" x14ac:dyDescent="0.2">
      <c r="M213" s="52">
        <v>43839.708333333336</v>
      </c>
      <c r="N213">
        <v>6.4000000000000001E-2</v>
      </c>
      <c r="O213">
        <v>0.1837384069900832</v>
      </c>
      <c r="P213">
        <v>0.1197384069900832</v>
      </c>
      <c r="Q213">
        <v>210</v>
      </c>
    </row>
    <row r="214" spans="13:17" x14ac:dyDescent="0.2">
      <c r="M214" s="52">
        <v>43839.75</v>
      </c>
      <c r="N214">
        <v>0.127</v>
      </c>
      <c r="O214">
        <v>0.12262634213361476</v>
      </c>
      <c r="P214">
        <v>-4.3736578663852443E-3</v>
      </c>
      <c r="Q214">
        <v>211</v>
      </c>
    </row>
    <row r="215" spans="13:17" x14ac:dyDescent="0.2">
      <c r="M215" s="52">
        <v>43839.791666666664</v>
      </c>
      <c r="N215">
        <v>0.20399999999999999</v>
      </c>
      <c r="O215">
        <v>6.1183642053327797E-2</v>
      </c>
      <c r="P215">
        <v>-0.14281635794667219</v>
      </c>
      <c r="Q215">
        <v>212</v>
      </c>
    </row>
    <row r="216" spans="13:17" x14ac:dyDescent="0.2">
      <c r="M216" s="52">
        <v>43839.833333333336</v>
      </c>
      <c r="N216">
        <v>0.26500000000000001</v>
      </c>
      <c r="O216">
        <v>4.8672853937883676E-2</v>
      </c>
      <c r="P216">
        <v>-0.21632714606211634</v>
      </c>
      <c r="Q216">
        <v>213</v>
      </c>
    </row>
    <row r="217" spans="13:17" x14ac:dyDescent="0.2">
      <c r="M217" s="52">
        <v>43839.875</v>
      </c>
      <c r="N217">
        <v>0.28399999999999997</v>
      </c>
      <c r="O217">
        <v>9.1896469763279545E-2</v>
      </c>
      <c r="P217">
        <v>-0.19210353023672044</v>
      </c>
      <c r="Q217">
        <v>214</v>
      </c>
    </row>
    <row r="218" spans="13:17" x14ac:dyDescent="0.2">
      <c r="M218" s="52">
        <v>43839.916666666664</v>
      </c>
      <c r="N218">
        <v>0.24199999999999999</v>
      </c>
      <c r="O218">
        <v>0.15400091039584282</v>
      </c>
      <c r="P218">
        <v>-8.7999089604157171E-2</v>
      </c>
      <c r="Q218">
        <v>215</v>
      </c>
    </row>
    <row r="219" spans="13:17" x14ac:dyDescent="0.2">
      <c r="M219" s="52">
        <v>43839.958333333336</v>
      </c>
      <c r="N219">
        <v>0.13700000000000001</v>
      </c>
      <c r="O219">
        <v>0.19342993360217053</v>
      </c>
      <c r="P219">
        <v>5.6429933602170523E-2</v>
      </c>
      <c r="Q219">
        <v>216</v>
      </c>
    </row>
    <row r="220" spans="13:17" x14ac:dyDescent="0.2">
      <c r="M220" s="52">
        <v>43840</v>
      </c>
      <c r="N220">
        <v>1.7000000000000001E-2</v>
      </c>
      <c r="O220">
        <v>0.20375705061339522</v>
      </c>
      <c r="P220">
        <v>0.1867570506133952</v>
      </c>
      <c r="Q220">
        <v>217</v>
      </c>
    </row>
    <row r="221" spans="13:17" x14ac:dyDescent="0.2">
      <c r="M221" s="52">
        <v>43840.041666666664</v>
      </c>
      <c r="N221">
        <v>0.193</v>
      </c>
      <c r="O221">
        <v>0.21610797509691526</v>
      </c>
      <c r="P221">
        <v>2.3107975096915256E-2</v>
      </c>
      <c r="Q221">
        <v>218</v>
      </c>
    </row>
    <row r="222" spans="13:17" x14ac:dyDescent="0.2">
      <c r="M222" s="52">
        <v>43840.083333333336</v>
      </c>
      <c r="N222">
        <v>0.35899999999999999</v>
      </c>
      <c r="O222">
        <v>0.26340476283587377</v>
      </c>
      <c r="P222">
        <v>-9.5595237164126212E-2</v>
      </c>
      <c r="Q222">
        <v>219</v>
      </c>
    </row>
    <row r="223" spans="13:17" x14ac:dyDescent="0.2">
      <c r="M223" s="52">
        <v>43840.125</v>
      </c>
      <c r="N223">
        <v>0.48</v>
      </c>
      <c r="O223">
        <v>0.3426272465654393</v>
      </c>
      <c r="P223">
        <v>-0.13737275343456068</v>
      </c>
      <c r="Q223">
        <v>220</v>
      </c>
    </row>
    <row r="224" spans="13:17" x14ac:dyDescent="0.2">
      <c r="M224" s="52">
        <v>43840.166666666664</v>
      </c>
      <c r="N224">
        <v>0.53200000000000003</v>
      </c>
      <c r="O224">
        <v>0.41234289363587151</v>
      </c>
      <c r="P224">
        <v>-0.11965710636412852</v>
      </c>
      <c r="Q224">
        <v>221</v>
      </c>
    </row>
    <row r="225" spans="13:17" x14ac:dyDescent="0.2">
      <c r="M225" s="52">
        <v>43840.208333333336</v>
      </c>
      <c r="N225">
        <v>0.50600000000000001</v>
      </c>
      <c r="O225">
        <v>0.42800094060513627</v>
      </c>
      <c r="P225">
        <v>-7.7999059394863735E-2</v>
      </c>
      <c r="Q225">
        <v>222</v>
      </c>
    </row>
    <row r="226" spans="13:17" x14ac:dyDescent="0.2">
      <c r="M226" s="52">
        <v>43840.25</v>
      </c>
      <c r="N226">
        <v>0.40699999999999997</v>
      </c>
      <c r="O226">
        <v>0.38123722278069949</v>
      </c>
      <c r="P226">
        <v>-2.5762777219300481E-2</v>
      </c>
      <c r="Q226">
        <v>223</v>
      </c>
    </row>
    <row r="227" spans="13:17" x14ac:dyDescent="0.2">
      <c r="M227" s="52">
        <v>43840.291666666664</v>
      </c>
      <c r="N227">
        <v>0.25700000000000001</v>
      </c>
      <c r="O227">
        <v>0.30634389475501156</v>
      </c>
      <c r="P227">
        <v>4.9343894755011553E-2</v>
      </c>
      <c r="Q227">
        <v>224</v>
      </c>
    </row>
    <row r="228" spans="13:17" x14ac:dyDescent="0.2">
      <c r="M228" s="52">
        <v>43840.333333333336</v>
      </c>
      <c r="N228">
        <v>8.6999999999999994E-2</v>
      </c>
      <c r="O228">
        <v>0.24900809512798669</v>
      </c>
      <c r="P228">
        <v>0.1620080951279867</v>
      </c>
      <c r="Q228">
        <v>225</v>
      </c>
    </row>
    <row r="229" spans="13:17" x14ac:dyDescent="0.2">
      <c r="M229" s="52">
        <v>43840.375</v>
      </c>
      <c r="N229">
        <v>7.0000000000000007E-2</v>
      </c>
      <c r="O229">
        <v>0.2278376160533262</v>
      </c>
      <c r="P229">
        <v>0.15783761605332619</v>
      </c>
      <c r="Q229">
        <v>226</v>
      </c>
    </row>
    <row r="230" spans="13:17" x14ac:dyDescent="0.2">
      <c r="M230" s="52">
        <v>43840.416666666664</v>
      </c>
      <c r="N230">
        <v>0.189</v>
      </c>
      <c r="O230">
        <v>0.22432975400715024</v>
      </c>
      <c r="P230">
        <v>3.5329754007150244E-2</v>
      </c>
      <c r="Q230">
        <v>227</v>
      </c>
    </row>
    <row r="231" spans="13:17" x14ac:dyDescent="0.2">
      <c r="M231" s="52">
        <v>43840.458333333336</v>
      </c>
      <c r="N231">
        <v>0.254</v>
      </c>
      <c r="O231">
        <v>0.20817706580529272</v>
      </c>
      <c r="P231">
        <v>-4.5822934194707288E-2</v>
      </c>
      <c r="Q231">
        <v>228</v>
      </c>
    </row>
    <row r="232" spans="13:17" x14ac:dyDescent="0.2">
      <c r="M232" s="52">
        <v>43840.5</v>
      </c>
      <c r="N232">
        <v>0.26400000000000001</v>
      </c>
      <c r="O232">
        <v>0.17096812467562572</v>
      </c>
      <c r="P232">
        <v>-9.3031875324374291E-2</v>
      </c>
      <c r="Q232">
        <v>229</v>
      </c>
    </row>
    <row r="233" spans="13:17" x14ac:dyDescent="0.2">
      <c r="M233" s="52">
        <v>43840.541666666664</v>
      </c>
      <c r="N233">
        <v>0.23100000000000001</v>
      </c>
      <c r="O233">
        <v>0.13492308626615129</v>
      </c>
      <c r="P233">
        <v>-9.6076913733848718E-2</v>
      </c>
      <c r="Q233">
        <v>230</v>
      </c>
    </row>
    <row r="234" spans="13:17" x14ac:dyDescent="0.2">
      <c r="M234" s="52">
        <v>43840.583333333336</v>
      </c>
      <c r="N234">
        <v>0.17699999999999999</v>
      </c>
      <c r="O234">
        <v>0.12923038459285768</v>
      </c>
      <c r="P234">
        <v>-4.7769615407142307E-2</v>
      </c>
      <c r="Q234">
        <v>231</v>
      </c>
    </row>
    <row r="235" spans="13:17" x14ac:dyDescent="0.2">
      <c r="M235" s="52">
        <v>43840.625</v>
      </c>
      <c r="N235">
        <v>0.126</v>
      </c>
      <c r="O235">
        <v>0.15854453174912878</v>
      </c>
      <c r="P235">
        <v>3.2544531749128774E-2</v>
      </c>
      <c r="Q235">
        <v>232</v>
      </c>
    </row>
    <row r="236" spans="13:17" x14ac:dyDescent="0.2">
      <c r="M236" s="52">
        <v>43840.666666666664</v>
      </c>
      <c r="N236">
        <v>9.8000000000000004E-2</v>
      </c>
      <c r="O236">
        <v>0.19521009172883183</v>
      </c>
      <c r="P236">
        <v>9.7210091728831827E-2</v>
      </c>
      <c r="Q236">
        <v>233</v>
      </c>
    </row>
    <row r="237" spans="13:17" x14ac:dyDescent="0.2">
      <c r="M237" s="52">
        <v>43840.708333333336</v>
      </c>
      <c r="N237">
        <v>0.10299999999999999</v>
      </c>
      <c r="O237">
        <v>0.20297258650474137</v>
      </c>
      <c r="P237">
        <v>9.9972586504741376E-2</v>
      </c>
      <c r="Q237">
        <v>234</v>
      </c>
    </row>
    <row r="238" spans="13:17" x14ac:dyDescent="0.2">
      <c r="M238" s="52">
        <v>43840.75</v>
      </c>
      <c r="N238">
        <v>0.13900000000000001</v>
      </c>
      <c r="O238">
        <v>0.16936215984196351</v>
      </c>
      <c r="P238">
        <v>3.0362159841963499E-2</v>
      </c>
      <c r="Q238">
        <v>235</v>
      </c>
    </row>
    <row r="239" spans="13:17" x14ac:dyDescent="0.2">
      <c r="M239" s="52">
        <v>43840.791666666664</v>
      </c>
      <c r="N239">
        <v>0.193</v>
      </c>
      <c r="O239">
        <v>0.11622619145239467</v>
      </c>
      <c r="P239">
        <v>-7.6773808547605335E-2</v>
      </c>
      <c r="Q239">
        <v>236</v>
      </c>
    </row>
    <row r="240" spans="13:17" x14ac:dyDescent="0.2">
      <c r="M240" s="52">
        <v>43840.833333333336</v>
      </c>
      <c r="N240">
        <v>0.24299999999999999</v>
      </c>
      <c r="O240">
        <v>7.95620007150247E-2</v>
      </c>
      <c r="P240">
        <v>-0.16343799928497529</v>
      </c>
      <c r="Q240">
        <v>237</v>
      </c>
    </row>
    <row r="241" spans="13:17" x14ac:dyDescent="0.2">
      <c r="M241" s="52">
        <v>43840.875</v>
      </c>
      <c r="N241">
        <v>0.26800000000000002</v>
      </c>
      <c r="O241">
        <v>7.8916436760503611E-2</v>
      </c>
      <c r="P241">
        <v>-0.1890835632394964</v>
      </c>
      <c r="Q241">
        <v>238</v>
      </c>
    </row>
    <row r="242" spans="13:17" x14ac:dyDescent="0.2">
      <c r="M242" s="52">
        <v>43840.916666666664</v>
      </c>
      <c r="N242">
        <v>0.249</v>
      </c>
      <c r="O242">
        <v>0.10503888768210147</v>
      </c>
      <c r="P242">
        <v>-0.14396111231789854</v>
      </c>
      <c r="Q242">
        <v>239</v>
      </c>
    </row>
    <row r="243" spans="13:17" x14ac:dyDescent="0.2">
      <c r="M243" s="52">
        <v>43840.958333333336</v>
      </c>
      <c r="N243">
        <v>0.17799999999999999</v>
      </c>
      <c r="O243">
        <v>0.13519838452438479</v>
      </c>
      <c r="P243">
        <v>-4.2801615475615201E-2</v>
      </c>
      <c r="Q243">
        <v>240</v>
      </c>
    </row>
    <row r="244" spans="13:17" x14ac:dyDescent="0.2">
      <c r="M244" s="52">
        <v>43841</v>
      </c>
      <c r="N244">
        <v>0.06</v>
      </c>
      <c r="O244">
        <v>0.15855073103134829</v>
      </c>
      <c r="P244">
        <v>9.8550731031348288E-2</v>
      </c>
      <c r="Q244">
        <v>241</v>
      </c>
    </row>
    <row r="245" spans="13:17" x14ac:dyDescent="0.2">
      <c r="M245" s="52">
        <v>43841.041666666664</v>
      </c>
      <c r="N245">
        <v>0.09</v>
      </c>
      <c r="O245">
        <v>0.18560486013165303</v>
      </c>
      <c r="P245">
        <v>9.5604860131653036E-2</v>
      </c>
      <c r="Q245">
        <v>242</v>
      </c>
    </row>
    <row r="246" spans="13:17" x14ac:dyDescent="0.2">
      <c r="M246" s="52">
        <v>43841.083333333336</v>
      </c>
      <c r="N246">
        <v>0.245</v>
      </c>
      <c r="O246">
        <v>0.23325881471660062</v>
      </c>
      <c r="P246">
        <v>-1.1741185283399375E-2</v>
      </c>
      <c r="Q246">
        <v>243</v>
      </c>
    </row>
    <row r="247" spans="13:17" x14ac:dyDescent="0.2">
      <c r="M247" s="52">
        <v>43841.125</v>
      </c>
      <c r="N247">
        <v>0.378</v>
      </c>
      <c r="O247">
        <v>0.30178105427978064</v>
      </c>
      <c r="P247">
        <v>-7.6218945720219367E-2</v>
      </c>
      <c r="Q247">
        <v>244</v>
      </c>
    </row>
    <row r="248" spans="13:17" x14ac:dyDescent="0.2">
      <c r="M248" s="52">
        <v>43841.166666666664</v>
      </c>
      <c r="N248">
        <v>0.46500000000000002</v>
      </c>
      <c r="O248">
        <v>0.36777657948823478</v>
      </c>
      <c r="P248">
        <v>-9.7223420511765246E-2</v>
      </c>
      <c r="Q248">
        <v>245</v>
      </c>
    </row>
    <row r="249" spans="13:17" x14ac:dyDescent="0.2">
      <c r="M249" s="52">
        <v>43841.208333333336</v>
      </c>
      <c r="N249">
        <v>0.48899999999999999</v>
      </c>
      <c r="O249">
        <v>0.40079451142144273</v>
      </c>
      <c r="P249">
        <v>-8.8205488578557256E-2</v>
      </c>
      <c r="Q249">
        <v>246</v>
      </c>
    </row>
    <row r="250" spans="13:17" x14ac:dyDescent="0.2">
      <c r="M250" s="52">
        <v>43841.25</v>
      </c>
      <c r="N250">
        <v>0.44800000000000001</v>
      </c>
      <c r="O250">
        <v>0.38780376513085624</v>
      </c>
      <c r="P250">
        <v>-6.0196234869143772E-2</v>
      </c>
      <c r="Q250">
        <v>247</v>
      </c>
    </row>
    <row r="251" spans="13:17" x14ac:dyDescent="0.2">
      <c r="M251" s="52">
        <v>43841.291666666664</v>
      </c>
      <c r="N251">
        <v>0.35199999999999998</v>
      </c>
      <c r="O251">
        <v>0.34248465084834062</v>
      </c>
      <c r="P251">
        <v>-9.515349151659358E-3</v>
      </c>
      <c r="Q251">
        <v>248</v>
      </c>
    </row>
    <row r="252" spans="13:17" x14ac:dyDescent="0.2">
      <c r="M252" s="52">
        <v>43841.333333333336</v>
      </c>
      <c r="N252">
        <v>0.219</v>
      </c>
      <c r="O252">
        <v>0.29160349049856937</v>
      </c>
      <c r="P252">
        <v>7.2603490498569373E-2</v>
      </c>
      <c r="Q252">
        <v>249</v>
      </c>
    </row>
    <row r="253" spans="13:17" x14ac:dyDescent="0.2">
      <c r="M253" s="52">
        <v>43841.375</v>
      </c>
      <c r="N253">
        <v>7.4999999999999997E-2</v>
      </c>
      <c r="O253">
        <v>0.25273948807918384</v>
      </c>
      <c r="P253">
        <v>0.17773948807918383</v>
      </c>
      <c r="Q253">
        <v>250</v>
      </c>
    </row>
    <row r="254" spans="13:17" x14ac:dyDescent="0.2">
      <c r="M254" s="52">
        <v>43841.416666666664</v>
      </c>
      <c r="N254">
        <v>5.5E-2</v>
      </c>
      <c r="O254">
        <v>0.22459241424386414</v>
      </c>
      <c r="P254">
        <v>0.16959241424386415</v>
      </c>
      <c r="Q254">
        <v>251</v>
      </c>
    </row>
    <row r="255" spans="13:17" x14ac:dyDescent="0.2">
      <c r="M255" s="52">
        <v>43841.458333333336</v>
      </c>
      <c r="N255">
        <v>0.153</v>
      </c>
      <c r="O255">
        <v>0.19706222800339687</v>
      </c>
      <c r="P255">
        <v>4.4062228003396875E-2</v>
      </c>
      <c r="Q255">
        <v>252</v>
      </c>
    </row>
    <row r="256" spans="13:17" x14ac:dyDescent="0.2">
      <c r="M256" s="52">
        <v>43841.5</v>
      </c>
      <c r="N256">
        <v>0.20899999999999999</v>
      </c>
      <c r="O256">
        <v>0.16823908951717506</v>
      </c>
      <c r="P256">
        <v>-4.076091048282493E-2</v>
      </c>
      <c r="Q256">
        <v>253</v>
      </c>
    </row>
    <row r="257" spans="13:17" x14ac:dyDescent="0.2">
      <c r="M257" s="52">
        <v>43841.541666666664</v>
      </c>
      <c r="N257">
        <v>0.224</v>
      </c>
      <c r="O257">
        <v>0.14956683800881421</v>
      </c>
      <c r="P257">
        <v>-7.4433161991185798E-2</v>
      </c>
      <c r="Q257">
        <v>254</v>
      </c>
    </row>
    <row r="258" spans="13:17" x14ac:dyDescent="0.2">
      <c r="M258" s="52">
        <v>43841.583333333336</v>
      </c>
      <c r="N258">
        <v>0.20899999999999999</v>
      </c>
      <c r="O258">
        <v>0.15388460084652988</v>
      </c>
      <c r="P258">
        <v>-5.5115399153470107E-2</v>
      </c>
      <c r="Q258">
        <v>255</v>
      </c>
    </row>
    <row r="259" spans="13:17" x14ac:dyDescent="0.2">
      <c r="M259" s="52">
        <v>43841.625</v>
      </c>
      <c r="N259">
        <v>0.18</v>
      </c>
      <c r="O259">
        <v>0.17937952091520146</v>
      </c>
      <c r="P259">
        <v>-6.2047908479853642E-4</v>
      </c>
      <c r="Q259">
        <v>256</v>
      </c>
    </row>
    <row r="260" spans="13:17" x14ac:dyDescent="0.2">
      <c r="M260" s="52">
        <v>43841.666666666664</v>
      </c>
      <c r="N260">
        <v>0.153</v>
      </c>
      <c r="O260">
        <v>0.20688425589399451</v>
      </c>
      <c r="P260">
        <v>5.3884255893994509E-2</v>
      </c>
      <c r="Q260">
        <v>257</v>
      </c>
    </row>
    <row r="261" spans="13:17" x14ac:dyDescent="0.2">
      <c r="M261" s="52">
        <v>43841.708333333336</v>
      </c>
      <c r="N261">
        <v>0.14099999999999999</v>
      </c>
      <c r="O261">
        <v>0.21430060316119762</v>
      </c>
      <c r="P261">
        <v>7.3300603161197631E-2</v>
      </c>
      <c r="Q261">
        <v>258</v>
      </c>
    </row>
    <row r="262" spans="13:17" x14ac:dyDescent="0.2">
      <c r="M262" s="52">
        <v>43841.75</v>
      </c>
      <c r="N262">
        <v>0.15</v>
      </c>
      <c r="O262">
        <v>0.19451444824018765</v>
      </c>
      <c r="P262">
        <v>4.451444824018766E-2</v>
      </c>
      <c r="Q262">
        <v>259</v>
      </c>
    </row>
    <row r="263" spans="13:17" x14ac:dyDescent="0.2">
      <c r="M263" s="52">
        <v>43841.791666666664</v>
      </c>
      <c r="N263">
        <v>0.17499999999999999</v>
      </c>
      <c r="O263">
        <v>0.1597504512543606</v>
      </c>
      <c r="P263">
        <v>-1.5249548745639385E-2</v>
      </c>
      <c r="Q263">
        <v>260</v>
      </c>
    </row>
    <row r="264" spans="13:17" x14ac:dyDescent="0.2">
      <c r="M264" s="52">
        <v>43841.833333333336</v>
      </c>
      <c r="N264">
        <v>0.20699999999999999</v>
      </c>
      <c r="O264">
        <v>0.12905968176401653</v>
      </c>
      <c r="P264">
        <v>-7.7940318235983463E-2</v>
      </c>
      <c r="Q264">
        <v>261</v>
      </c>
    </row>
    <row r="265" spans="13:17" x14ac:dyDescent="0.2">
      <c r="M265" s="52">
        <v>43841.875</v>
      </c>
      <c r="N265">
        <v>0.23</v>
      </c>
      <c r="O265">
        <v>0.11222417278119809</v>
      </c>
      <c r="P265">
        <v>-0.11777582721880192</v>
      </c>
      <c r="Q265">
        <v>262</v>
      </c>
    </row>
    <row r="266" spans="13:17" x14ac:dyDescent="0.2">
      <c r="M266" s="52">
        <v>43841.916666666664</v>
      </c>
      <c r="N266">
        <v>0.22900000000000001</v>
      </c>
      <c r="O266">
        <v>0.1059266023965471</v>
      </c>
      <c r="P266">
        <v>-0.12307339760345291</v>
      </c>
      <c r="Q266">
        <v>263</v>
      </c>
    </row>
    <row r="267" spans="13:17" x14ac:dyDescent="0.2">
      <c r="M267" s="52">
        <v>43841.958333333336</v>
      </c>
      <c r="N267">
        <v>0.19400000000000001</v>
      </c>
      <c r="O267">
        <v>0.10438708180457248</v>
      </c>
      <c r="P267">
        <v>-8.9612918195427521E-2</v>
      </c>
      <c r="Q267">
        <v>264</v>
      </c>
    </row>
    <row r="268" spans="13:17" x14ac:dyDescent="0.2">
      <c r="M268" s="52">
        <v>43842</v>
      </c>
      <c r="N268">
        <v>0.12</v>
      </c>
      <c r="O268">
        <v>0.11129571893665946</v>
      </c>
      <c r="P268">
        <v>-8.7042810633405354E-3</v>
      </c>
      <c r="Q268">
        <v>265</v>
      </c>
    </row>
    <row r="269" spans="13:17" x14ac:dyDescent="0.2">
      <c r="M269" s="52">
        <v>43842.041666666664</v>
      </c>
      <c r="N269">
        <v>1.4E-2</v>
      </c>
      <c r="O269">
        <v>0.13880623539476181</v>
      </c>
      <c r="P269">
        <v>0.12480623539476181</v>
      </c>
      <c r="Q269">
        <v>266</v>
      </c>
    </row>
    <row r="270" spans="13:17" x14ac:dyDescent="0.2">
      <c r="M270" s="52">
        <v>43842.083333333336</v>
      </c>
      <c r="N270">
        <v>0.111</v>
      </c>
      <c r="O270">
        <v>0.19361912089933947</v>
      </c>
      <c r="P270">
        <v>8.2619120899339468E-2</v>
      </c>
      <c r="Q270">
        <v>267</v>
      </c>
    </row>
    <row r="271" spans="13:17" x14ac:dyDescent="0.2">
      <c r="M271" s="52">
        <v>43842.125</v>
      </c>
      <c r="N271">
        <v>0.23599999999999999</v>
      </c>
      <c r="O271">
        <v>0.26475693512834769</v>
      </c>
      <c r="P271">
        <v>2.8756935128347705E-2</v>
      </c>
      <c r="Q271">
        <v>268</v>
      </c>
    </row>
    <row r="272" spans="13:17" x14ac:dyDescent="0.2">
      <c r="M272" s="52">
        <v>43842.166666666664</v>
      </c>
      <c r="N272">
        <v>0.34100000000000003</v>
      </c>
      <c r="O272">
        <v>0.32703714699676695</v>
      </c>
      <c r="P272">
        <v>-1.3962853003233078E-2</v>
      </c>
      <c r="Q272">
        <v>269</v>
      </c>
    </row>
    <row r="273" spans="13:17" x14ac:dyDescent="0.2">
      <c r="M273" s="52">
        <v>43842.208333333336</v>
      </c>
      <c r="N273">
        <v>0.40799999999999997</v>
      </c>
      <c r="O273">
        <v>0.35866370751308824</v>
      </c>
      <c r="P273">
        <v>-4.9336292486911737E-2</v>
      </c>
      <c r="Q273">
        <v>270</v>
      </c>
    </row>
    <row r="274" spans="13:17" x14ac:dyDescent="0.2">
      <c r="M274" s="52">
        <v>43842.25</v>
      </c>
      <c r="N274">
        <v>0.42599999999999999</v>
      </c>
      <c r="O274">
        <v>0.35668082285186253</v>
      </c>
      <c r="P274">
        <v>-6.9319177148137456E-2</v>
      </c>
      <c r="Q274">
        <v>271</v>
      </c>
    </row>
    <row r="275" spans="13:17" x14ac:dyDescent="0.2">
      <c r="M275" s="52">
        <v>43842.291666666664</v>
      </c>
      <c r="N275">
        <v>0.39400000000000002</v>
      </c>
      <c r="O275">
        <v>0.33560479797868265</v>
      </c>
      <c r="P275">
        <v>-5.8395202021317372E-2</v>
      </c>
      <c r="Q275">
        <v>272</v>
      </c>
    </row>
    <row r="276" spans="13:17" x14ac:dyDescent="0.2">
      <c r="M276" s="52">
        <v>43842.333333333336</v>
      </c>
      <c r="N276">
        <v>0.317</v>
      </c>
      <c r="O276">
        <v>0.31119663965968108</v>
      </c>
      <c r="P276">
        <v>-5.8033603403189193E-3</v>
      </c>
      <c r="Q276">
        <v>273</v>
      </c>
    </row>
    <row r="277" spans="13:17" x14ac:dyDescent="0.2">
      <c r="M277" s="52">
        <v>43842.375</v>
      </c>
      <c r="N277">
        <v>0.21</v>
      </c>
      <c r="O277">
        <v>0.28620611435317755</v>
      </c>
      <c r="P277">
        <v>7.6206114353177562E-2</v>
      </c>
      <c r="Q277">
        <v>274</v>
      </c>
    </row>
    <row r="278" spans="13:17" x14ac:dyDescent="0.2">
      <c r="M278" s="52">
        <v>43842.416666666664</v>
      </c>
      <c r="N278">
        <v>9.0999999999999998E-2</v>
      </c>
      <c r="O278">
        <v>0.25258586347565609</v>
      </c>
      <c r="P278">
        <v>0.16158586347565609</v>
      </c>
      <c r="Q278">
        <v>275</v>
      </c>
    </row>
    <row r="279" spans="13:17" x14ac:dyDescent="0.2">
      <c r="M279" s="52">
        <v>43842.458333333336</v>
      </c>
      <c r="N279">
        <v>2.3E-2</v>
      </c>
      <c r="O279">
        <v>0.20719312049702002</v>
      </c>
      <c r="P279">
        <v>0.18419312049702002</v>
      </c>
      <c r="Q279">
        <v>276</v>
      </c>
    </row>
    <row r="280" spans="13:17" x14ac:dyDescent="0.2">
      <c r="M280" s="52">
        <v>43842.5</v>
      </c>
      <c r="N280">
        <v>0.11600000000000001</v>
      </c>
      <c r="O280">
        <v>0.1632502224578683</v>
      </c>
      <c r="P280">
        <v>4.7250222457868293E-2</v>
      </c>
      <c r="Q280">
        <v>277</v>
      </c>
    </row>
    <row r="281" spans="13:17" x14ac:dyDescent="0.2">
      <c r="M281" s="52">
        <v>43842.541666666664</v>
      </c>
      <c r="N281">
        <v>0.17899999999999999</v>
      </c>
      <c r="O281">
        <v>0.14344307348347946</v>
      </c>
      <c r="P281">
        <v>-3.5556926516520537E-2</v>
      </c>
      <c r="Q281">
        <v>278</v>
      </c>
    </row>
    <row r="282" spans="13:17" x14ac:dyDescent="0.2">
      <c r="M282" s="52">
        <v>43842.583333333336</v>
      </c>
      <c r="N282">
        <v>0.21099999999999999</v>
      </c>
      <c r="O282">
        <v>0.1595275348867978</v>
      </c>
      <c r="P282">
        <v>-5.1472465113202193E-2</v>
      </c>
      <c r="Q282">
        <v>279</v>
      </c>
    </row>
    <row r="283" spans="13:17" x14ac:dyDescent="0.2">
      <c r="M283" s="52">
        <v>43842.625</v>
      </c>
      <c r="N283">
        <v>0.214</v>
      </c>
      <c r="O283">
        <v>0.19849362149583871</v>
      </c>
      <c r="P283">
        <v>-1.5506378504161283E-2</v>
      </c>
      <c r="Q283">
        <v>280</v>
      </c>
    </row>
    <row r="284" spans="13:17" x14ac:dyDescent="0.2">
      <c r="M284" s="52">
        <v>43842.666666666664</v>
      </c>
      <c r="N284">
        <v>0.2</v>
      </c>
      <c r="O284">
        <v>0.23054431366642494</v>
      </c>
      <c r="P284">
        <v>3.0544313666424933E-2</v>
      </c>
      <c r="Q284">
        <v>281</v>
      </c>
    </row>
    <row r="285" spans="13:17" x14ac:dyDescent="0.2">
      <c r="M285" s="52">
        <v>43842.708333333336</v>
      </c>
      <c r="N285">
        <v>0.17799999999999999</v>
      </c>
      <c r="O285">
        <v>0.23313880472929283</v>
      </c>
      <c r="P285">
        <v>5.5138804729292834E-2</v>
      </c>
      <c r="Q285">
        <v>282</v>
      </c>
    </row>
    <row r="286" spans="13:17" x14ac:dyDescent="0.2">
      <c r="M286" s="52">
        <v>43842.75</v>
      </c>
      <c r="N286">
        <v>0.159</v>
      </c>
      <c r="O286">
        <v>0.20884921683169691</v>
      </c>
      <c r="P286">
        <v>4.9849216831696908E-2</v>
      </c>
      <c r="Q286">
        <v>283</v>
      </c>
    </row>
    <row r="287" spans="13:17" x14ac:dyDescent="0.2">
      <c r="M287" s="52">
        <v>43842.791666666664</v>
      </c>
      <c r="N287">
        <v>0.14899999999999999</v>
      </c>
      <c r="O287">
        <v>0.17992235931256398</v>
      </c>
      <c r="P287">
        <v>3.0922359312563985E-2</v>
      </c>
      <c r="Q287">
        <v>284</v>
      </c>
    </row>
    <row r="288" spans="13:17" x14ac:dyDescent="0.2">
      <c r="M288" s="52">
        <v>43842.833333333336</v>
      </c>
      <c r="N288">
        <v>0.15</v>
      </c>
      <c r="O288">
        <v>0.16502712176843687</v>
      </c>
      <c r="P288">
        <v>1.5027121768436874E-2</v>
      </c>
      <c r="Q288">
        <v>285</v>
      </c>
    </row>
    <row r="289" spans="13:17" x14ac:dyDescent="0.2">
      <c r="M289" s="52">
        <v>43842.875</v>
      </c>
      <c r="N289">
        <v>0.157</v>
      </c>
      <c r="O289">
        <v>0.16150831057312051</v>
      </c>
      <c r="P289">
        <v>4.5083105731205109E-3</v>
      </c>
      <c r="Q289">
        <v>286</v>
      </c>
    </row>
    <row r="290" spans="13:17" x14ac:dyDescent="0.2">
      <c r="M290" s="52">
        <v>43842.916666666664</v>
      </c>
      <c r="N290">
        <v>0.16300000000000001</v>
      </c>
      <c r="O290">
        <v>0.15123976705435915</v>
      </c>
      <c r="P290">
        <v>-1.1760232945640853E-2</v>
      </c>
      <c r="Q290">
        <v>287</v>
      </c>
    </row>
    <row r="291" spans="13:17" x14ac:dyDescent="0.2">
      <c r="M291" s="52">
        <v>43842.958333333336</v>
      </c>
      <c r="N291">
        <v>0.158</v>
      </c>
      <c r="O291">
        <v>0.12428063996463672</v>
      </c>
      <c r="P291">
        <v>-3.3719360035363286E-2</v>
      </c>
      <c r="Q291">
        <v>288</v>
      </c>
    </row>
    <row r="292" spans="13:17" x14ac:dyDescent="0.2">
      <c r="M292" s="52">
        <v>43843</v>
      </c>
      <c r="N292">
        <v>0.13500000000000001</v>
      </c>
      <c r="O292">
        <v>9.5616410435945848E-2</v>
      </c>
      <c r="P292">
        <v>-3.9383589564054161E-2</v>
      </c>
      <c r="Q292">
        <v>289</v>
      </c>
    </row>
    <row r="293" spans="13:17" x14ac:dyDescent="0.2">
      <c r="M293" s="52">
        <v>43843.041666666664</v>
      </c>
      <c r="N293">
        <v>8.7999999999999995E-2</v>
      </c>
      <c r="O293">
        <v>9.5937467793406173E-2</v>
      </c>
      <c r="P293">
        <v>7.9374677934061777E-3</v>
      </c>
      <c r="Q293">
        <v>290</v>
      </c>
    </row>
    <row r="294" spans="13:17" x14ac:dyDescent="0.2">
      <c r="M294" s="52">
        <v>43843.083333333336</v>
      </c>
      <c r="N294">
        <v>1.7999999999999999E-2</v>
      </c>
      <c r="O294">
        <v>0.14313837783442901</v>
      </c>
      <c r="P294">
        <v>0.12513837783442902</v>
      </c>
      <c r="Q294">
        <v>291</v>
      </c>
    </row>
    <row r="295" spans="13:17" x14ac:dyDescent="0.2">
      <c r="M295" s="52">
        <v>43843.125</v>
      </c>
      <c r="N295">
        <v>7.0999999999999994E-2</v>
      </c>
      <c r="O295">
        <v>0.22180655901976756</v>
      </c>
      <c r="P295">
        <v>0.15080655901976758</v>
      </c>
      <c r="Q295">
        <v>292</v>
      </c>
    </row>
    <row r="296" spans="13:17" x14ac:dyDescent="0.2">
      <c r="M296" s="52">
        <v>43843.166666666664</v>
      </c>
      <c r="N296">
        <v>0.16600000000000001</v>
      </c>
      <c r="O296">
        <v>0.29214458813282906</v>
      </c>
      <c r="P296">
        <v>0.12614458813282906</v>
      </c>
      <c r="Q296">
        <v>293</v>
      </c>
    </row>
    <row r="297" spans="13:17" x14ac:dyDescent="0.2">
      <c r="M297" s="52">
        <v>43843.208333333336</v>
      </c>
      <c r="N297">
        <v>0.255</v>
      </c>
      <c r="O297">
        <v>0.32193241836886682</v>
      </c>
      <c r="P297">
        <v>6.693241836886682E-2</v>
      </c>
      <c r="Q297">
        <v>294</v>
      </c>
    </row>
    <row r="298" spans="13:17" x14ac:dyDescent="0.2">
      <c r="M298" s="52">
        <v>43843.25</v>
      </c>
      <c r="N298">
        <v>0.32200000000000001</v>
      </c>
      <c r="O298">
        <v>0.31211301330886976</v>
      </c>
      <c r="P298">
        <v>-9.8869866911302506E-3</v>
      </c>
      <c r="Q298">
        <v>295</v>
      </c>
    </row>
    <row r="299" spans="13:17" x14ac:dyDescent="0.2">
      <c r="M299" s="52">
        <v>43843.291666666664</v>
      </c>
      <c r="N299">
        <v>0.35699999999999998</v>
      </c>
      <c r="O299">
        <v>0.29165278876083595</v>
      </c>
      <c r="P299">
        <v>-6.5347211239164038E-2</v>
      </c>
      <c r="Q299">
        <v>296</v>
      </c>
    </row>
    <row r="300" spans="13:17" x14ac:dyDescent="0.2">
      <c r="M300" s="52">
        <v>43843.333333333336</v>
      </c>
      <c r="N300">
        <v>0.35</v>
      </c>
      <c r="O300">
        <v>0.28666964740294809</v>
      </c>
      <c r="P300">
        <v>-6.3330352597051887E-2</v>
      </c>
      <c r="Q300">
        <v>297</v>
      </c>
    </row>
    <row r="301" spans="13:17" x14ac:dyDescent="0.2">
      <c r="M301" s="52">
        <v>43843.375</v>
      </c>
      <c r="N301">
        <v>0.30299999999999999</v>
      </c>
      <c r="O301">
        <v>0.2941878059984705</v>
      </c>
      <c r="P301">
        <v>-8.8121940015294942E-3</v>
      </c>
      <c r="Q301">
        <v>298</v>
      </c>
    </row>
    <row r="302" spans="13:17" x14ac:dyDescent="0.2">
      <c r="M302" s="52">
        <v>43843.416666666664</v>
      </c>
      <c r="N302">
        <v>0.221</v>
      </c>
      <c r="O302">
        <v>0.28685014929594216</v>
      </c>
      <c r="P302">
        <v>6.5850149295942156E-2</v>
      </c>
      <c r="Q302">
        <v>299</v>
      </c>
    </row>
    <row r="303" spans="13:17" x14ac:dyDescent="0.2">
      <c r="M303" s="52">
        <v>43843.458333333336</v>
      </c>
      <c r="N303">
        <v>0.115</v>
      </c>
      <c r="O303">
        <v>0.24443743013179683</v>
      </c>
      <c r="P303">
        <v>0.12943743013179682</v>
      </c>
      <c r="Q303">
        <v>300</v>
      </c>
    </row>
    <row r="304" spans="13:17" x14ac:dyDescent="0.2">
      <c r="M304" s="52">
        <v>43843.5</v>
      </c>
      <c r="N304">
        <v>3.0000000000000001E-3</v>
      </c>
      <c r="O304">
        <v>0.18060126954831021</v>
      </c>
      <c r="P304">
        <v>0.17760126954831021</v>
      </c>
      <c r="Q304">
        <v>301</v>
      </c>
    </row>
    <row r="305" spans="13:17" x14ac:dyDescent="0.2">
      <c r="M305" s="52">
        <v>43843.541666666664</v>
      </c>
      <c r="N305">
        <v>0.1</v>
      </c>
      <c r="O305">
        <v>0.13644436863865322</v>
      </c>
      <c r="P305">
        <v>3.6444368638653218E-2</v>
      </c>
      <c r="Q305">
        <v>302</v>
      </c>
    </row>
    <row r="306" spans="13:17" x14ac:dyDescent="0.2">
      <c r="M306" s="52">
        <v>43843.583333333336</v>
      </c>
      <c r="N306">
        <v>0.18</v>
      </c>
      <c r="O306">
        <v>0.14457644514365664</v>
      </c>
      <c r="P306">
        <v>-3.5423554856343353E-2</v>
      </c>
      <c r="Q306">
        <v>303</v>
      </c>
    </row>
    <row r="307" spans="13:17" x14ac:dyDescent="0.2">
      <c r="M307" s="52">
        <v>43843.625</v>
      </c>
      <c r="N307">
        <v>0.22600000000000001</v>
      </c>
      <c r="O307">
        <v>0.1973159008465491</v>
      </c>
      <c r="P307">
        <v>-2.8684099153450909E-2</v>
      </c>
      <c r="Q307">
        <v>304</v>
      </c>
    </row>
    <row r="308" spans="13:17" x14ac:dyDescent="0.2">
      <c r="M308" s="52">
        <v>43843.666666666664</v>
      </c>
      <c r="N308">
        <v>0.23699999999999999</v>
      </c>
      <c r="O308">
        <v>0.2507098383764213</v>
      </c>
      <c r="P308">
        <v>1.3709838376421313E-2</v>
      </c>
      <c r="Q308">
        <v>305</v>
      </c>
    </row>
    <row r="309" spans="13:17" x14ac:dyDescent="0.2">
      <c r="M309" s="52">
        <v>43843.708333333336</v>
      </c>
      <c r="N309">
        <v>0.217</v>
      </c>
      <c r="O309">
        <v>0.26252997701521463</v>
      </c>
      <c r="P309">
        <v>4.5529977015214634E-2</v>
      </c>
      <c r="Q309">
        <v>306</v>
      </c>
    </row>
    <row r="310" spans="13:17" x14ac:dyDescent="0.2">
      <c r="M310" s="52">
        <v>43843.75</v>
      </c>
      <c r="N310">
        <v>0.17499999999999999</v>
      </c>
      <c r="O310">
        <v>0.22919505062431528</v>
      </c>
      <c r="P310">
        <v>5.4195050624315289E-2</v>
      </c>
      <c r="Q310">
        <v>307</v>
      </c>
    </row>
    <row r="311" spans="13:17" x14ac:dyDescent="0.2">
      <c r="M311" s="52">
        <v>43843.791666666664</v>
      </c>
      <c r="N311">
        <v>0.126</v>
      </c>
      <c r="O311">
        <v>0.18645415198209903</v>
      </c>
      <c r="P311">
        <v>6.0454151982099025E-2</v>
      </c>
      <c r="Q311">
        <v>308</v>
      </c>
    </row>
    <row r="312" spans="13:17" x14ac:dyDescent="0.2">
      <c r="M312" s="52">
        <v>43843.833333333336</v>
      </c>
      <c r="N312">
        <v>8.2000000000000003E-2</v>
      </c>
      <c r="O312">
        <v>0.17296216347326032</v>
      </c>
      <c r="P312">
        <v>9.0962163473260318E-2</v>
      </c>
      <c r="Q312">
        <v>309</v>
      </c>
    </row>
    <row r="313" spans="13:17" x14ac:dyDescent="0.2">
      <c r="M313" s="52">
        <v>43843.875</v>
      </c>
      <c r="N313">
        <v>5.2999999999999999E-2</v>
      </c>
      <c r="O313">
        <v>0.19200645483540943</v>
      </c>
      <c r="P313">
        <v>0.13900645483540944</v>
      </c>
      <c r="Q313">
        <v>310</v>
      </c>
    </row>
    <row r="314" spans="13:17" x14ac:dyDescent="0.2">
      <c r="M314" s="52">
        <v>43843.916666666664</v>
      </c>
      <c r="N314">
        <v>4.4999999999999998E-2</v>
      </c>
      <c r="O314">
        <v>0.20911463130834351</v>
      </c>
      <c r="P314">
        <v>0.16411463130834353</v>
      </c>
      <c r="Q314">
        <v>311</v>
      </c>
    </row>
    <row r="315" spans="13:17" x14ac:dyDescent="0.2">
      <c r="M315" s="52">
        <v>43843.958333333336</v>
      </c>
      <c r="N315">
        <v>5.5E-2</v>
      </c>
      <c r="O315">
        <v>0.18861878036801866</v>
      </c>
      <c r="P315">
        <v>0.13361878036801866</v>
      </c>
      <c r="Q315">
        <v>312</v>
      </c>
    </row>
    <row r="316" spans="13:17" x14ac:dyDescent="0.2">
      <c r="M316" s="52">
        <v>43844</v>
      </c>
      <c r="N316">
        <v>7.4999999999999997E-2</v>
      </c>
      <c r="O316">
        <v>0.13350991299191822</v>
      </c>
      <c r="P316">
        <v>5.8509912991918225E-2</v>
      </c>
      <c r="Q316">
        <v>313</v>
      </c>
    </row>
    <row r="317" spans="13:17" x14ac:dyDescent="0.2">
      <c r="M317" s="52">
        <v>43844.041666666664</v>
      </c>
      <c r="N317">
        <v>9.2999999999999999E-2</v>
      </c>
      <c r="O317">
        <v>8.8237578770728062E-2</v>
      </c>
      <c r="P317">
        <v>-4.7624212292719376E-3</v>
      </c>
      <c r="Q317">
        <v>314</v>
      </c>
    </row>
    <row r="318" spans="13:17" x14ac:dyDescent="0.2">
      <c r="M318" s="52">
        <v>43844.083333333336</v>
      </c>
      <c r="N318">
        <v>9.7000000000000003E-2</v>
      </c>
      <c r="O318">
        <v>9.9296463810043145E-2</v>
      </c>
      <c r="P318">
        <v>2.2964638100431423E-3</v>
      </c>
      <c r="Q318">
        <v>315</v>
      </c>
    </row>
    <row r="319" spans="13:17" x14ac:dyDescent="0.2">
      <c r="M319" s="52">
        <v>43844.125</v>
      </c>
      <c r="N319">
        <v>7.5999999999999998E-2</v>
      </c>
      <c r="O319">
        <v>0.17016282535632643</v>
      </c>
      <c r="P319">
        <v>9.4162825356326432E-2</v>
      </c>
      <c r="Q319">
        <v>316</v>
      </c>
    </row>
    <row r="320" spans="13:17" x14ac:dyDescent="0.2">
      <c r="M320" s="52">
        <v>43844.166666666664</v>
      </c>
      <c r="N320">
        <v>2.7E-2</v>
      </c>
      <c r="O320">
        <v>0.25448550155728078</v>
      </c>
      <c r="P320">
        <v>0.22748550155728078</v>
      </c>
      <c r="Q320">
        <v>317</v>
      </c>
    </row>
    <row r="321" spans="13:17" x14ac:dyDescent="0.2">
      <c r="M321" s="52">
        <v>43844.208333333336</v>
      </c>
      <c r="N321">
        <v>4.8000000000000001E-2</v>
      </c>
      <c r="O321">
        <v>0.29592898919991922</v>
      </c>
      <c r="P321">
        <v>0.24792898919991924</v>
      </c>
      <c r="Q321">
        <v>318</v>
      </c>
    </row>
    <row r="322" spans="13:17" x14ac:dyDescent="0.2">
      <c r="M322" s="52">
        <v>43844.25</v>
      </c>
      <c r="N322">
        <v>0.13800000000000001</v>
      </c>
      <c r="O322">
        <v>0.27806057658146371</v>
      </c>
      <c r="P322">
        <v>0.1400605765814637</v>
      </c>
      <c r="Q322">
        <v>319</v>
      </c>
    </row>
    <row r="323" spans="13:17" x14ac:dyDescent="0.2">
      <c r="M323" s="52">
        <v>43844.291666666664</v>
      </c>
      <c r="N323">
        <v>0.22500000000000001</v>
      </c>
      <c r="O323">
        <v>0.23691193840874192</v>
      </c>
      <c r="P323">
        <v>1.1911938408741912E-2</v>
      </c>
      <c r="Q323">
        <v>320</v>
      </c>
    </row>
    <row r="324" spans="13:17" x14ac:dyDescent="0.2">
      <c r="M324" s="52">
        <v>43844.333333333336</v>
      </c>
      <c r="N324">
        <v>0.28999999999999998</v>
      </c>
      <c r="O324">
        <v>0.22387319661622859</v>
      </c>
      <c r="P324">
        <v>-6.6126803383771388E-2</v>
      </c>
      <c r="Q324">
        <v>321</v>
      </c>
    </row>
    <row r="325" spans="13:17" x14ac:dyDescent="0.2">
      <c r="M325" s="52">
        <v>43844.375</v>
      </c>
      <c r="N325">
        <v>0.31900000000000001</v>
      </c>
      <c r="O325">
        <v>0.25447291894276314</v>
      </c>
      <c r="P325">
        <v>-6.4527081057236868E-2</v>
      </c>
      <c r="Q325">
        <v>322</v>
      </c>
    </row>
    <row r="326" spans="13:17" x14ac:dyDescent="0.2">
      <c r="M326" s="52">
        <v>43844.416666666664</v>
      </c>
      <c r="N326">
        <v>0.3</v>
      </c>
      <c r="O326">
        <v>0.29293503638754559</v>
      </c>
      <c r="P326">
        <v>-7.0649636124544002E-3</v>
      </c>
      <c r="Q326">
        <v>323</v>
      </c>
    </row>
    <row r="327" spans="13:17" x14ac:dyDescent="0.2">
      <c r="M327" s="52">
        <v>43844.458333333336</v>
      </c>
      <c r="N327">
        <v>0.23300000000000001</v>
      </c>
      <c r="O327">
        <v>0.28831908229757008</v>
      </c>
      <c r="P327">
        <v>5.5319082297570071E-2</v>
      </c>
      <c r="Q327">
        <v>324</v>
      </c>
    </row>
    <row r="328" spans="13:17" x14ac:dyDescent="0.2">
      <c r="M328" s="52">
        <v>43844.5</v>
      </c>
      <c r="N328">
        <v>0.128</v>
      </c>
      <c r="O328">
        <v>0.22764872544577358</v>
      </c>
      <c r="P328">
        <v>9.9648725445773578E-2</v>
      </c>
      <c r="Q328">
        <v>325</v>
      </c>
    </row>
    <row r="329" spans="13:17" x14ac:dyDescent="0.2">
      <c r="M329" s="52">
        <v>43844.541666666664</v>
      </c>
      <c r="N329">
        <v>3.0000000000000001E-3</v>
      </c>
      <c r="O329">
        <v>0.1536407044211594</v>
      </c>
      <c r="P329">
        <v>0.1506407044211594</v>
      </c>
      <c r="Q329">
        <v>326</v>
      </c>
    </row>
    <row r="330" spans="13:17" x14ac:dyDescent="0.2">
      <c r="M330" s="52">
        <v>43844.583333333336</v>
      </c>
      <c r="N330">
        <v>0.11799999999999999</v>
      </c>
      <c r="O330">
        <v>0.12778971360473065</v>
      </c>
      <c r="P330">
        <v>9.7897136047306599E-3</v>
      </c>
      <c r="Q330">
        <v>327</v>
      </c>
    </row>
    <row r="331" spans="13:17" x14ac:dyDescent="0.2">
      <c r="M331" s="52">
        <v>43844.625</v>
      </c>
      <c r="N331">
        <v>0.21199999999999999</v>
      </c>
      <c r="O331">
        <v>0.17262772243200533</v>
      </c>
      <c r="P331">
        <v>-3.9372277567994662E-2</v>
      </c>
      <c r="Q331">
        <v>328</v>
      </c>
    </row>
    <row r="332" spans="13:17" x14ac:dyDescent="0.2">
      <c r="M332" s="52">
        <v>43844.666666666664</v>
      </c>
      <c r="N332">
        <v>0.26200000000000001</v>
      </c>
      <c r="O332">
        <v>0.24860827282124234</v>
      </c>
      <c r="P332">
        <v>-1.3391727178757667E-2</v>
      </c>
      <c r="Q332">
        <v>329</v>
      </c>
    </row>
    <row r="333" spans="13:17" x14ac:dyDescent="0.2">
      <c r="M333" s="52">
        <v>43844.708333333336</v>
      </c>
      <c r="N333">
        <v>0.26</v>
      </c>
      <c r="O333">
        <v>0.28922691586895322</v>
      </c>
      <c r="P333">
        <v>2.9226915868953207E-2</v>
      </c>
      <c r="Q333">
        <v>330</v>
      </c>
    </row>
    <row r="334" spans="13:17" x14ac:dyDescent="0.2">
      <c r="M334" s="52">
        <v>43844.75</v>
      </c>
      <c r="N334">
        <v>0.20899999999999999</v>
      </c>
      <c r="O334">
        <v>0.26224139459689666</v>
      </c>
      <c r="P334">
        <v>5.3241394596896668E-2</v>
      </c>
      <c r="Q334">
        <v>331</v>
      </c>
    </row>
    <row r="335" spans="13:17" x14ac:dyDescent="0.2">
      <c r="M335" s="52">
        <v>43844.791666666664</v>
      </c>
      <c r="N335">
        <v>0.124</v>
      </c>
      <c r="O335">
        <v>0.19884891347224526</v>
      </c>
      <c r="P335">
        <v>7.484891347224526E-2</v>
      </c>
      <c r="Q335">
        <v>332</v>
      </c>
    </row>
    <row r="336" spans="13:17" x14ac:dyDescent="0.2">
      <c r="M336" s="52">
        <v>43844.833333333336</v>
      </c>
      <c r="N336">
        <v>2.8000000000000001E-2</v>
      </c>
      <c r="O336">
        <v>0.16244406659678495</v>
      </c>
      <c r="P336">
        <v>0.13444406659678496</v>
      </c>
      <c r="Q336">
        <v>333</v>
      </c>
    </row>
    <row r="337" spans="13:17" x14ac:dyDescent="0.2">
      <c r="M337" s="52">
        <v>43844.875</v>
      </c>
      <c r="N337">
        <v>5.6000000000000001E-2</v>
      </c>
      <c r="O337">
        <v>0.18649449480650954</v>
      </c>
      <c r="P337">
        <v>0.13049449480650954</v>
      </c>
      <c r="Q337">
        <v>334</v>
      </c>
    </row>
    <row r="338" spans="13:17" x14ac:dyDescent="0.2">
      <c r="M338" s="52">
        <v>43844.916666666664</v>
      </c>
      <c r="N338">
        <v>0.106</v>
      </c>
      <c r="O338">
        <v>0.2414810980212112</v>
      </c>
      <c r="P338">
        <v>0.13548109802121122</v>
      </c>
      <c r="Q338">
        <v>335</v>
      </c>
    </row>
    <row r="339" spans="13:17" x14ac:dyDescent="0.2">
      <c r="M339" s="52">
        <v>43844.958333333336</v>
      </c>
      <c r="N339">
        <v>0.111</v>
      </c>
      <c r="O339">
        <v>0.26360747799610668</v>
      </c>
      <c r="P339">
        <v>0.15260747799610669</v>
      </c>
      <c r="Q339">
        <v>336</v>
      </c>
    </row>
    <row r="340" spans="13:17" x14ac:dyDescent="0.2">
      <c r="M340">
        <v>43845</v>
      </c>
      <c r="N340">
        <v>7.1999999999999995E-2</v>
      </c>
      <c r="O340">
        <v>0.2183610917503768</v>
      </c>
      <c r="P340">
        <v>0.14636109175037681</v>
      </c>
      <c r="Q340">
        <v>337</v>
      </c>
    </row>
    <row r="341" spans="13:17" x14ac:dyDescent="0.2">
      <c r="M341">
        <v>43845.041666666664</v>
      </c>
      <c r="N341">
        <v>0</v>
      </c>
      <c r="O341">
        <v>0.13733508796336463</v>
      </c>
      <c r="P341">
        <v>0.13733508796336463</v>
      </c>
      <c r="Q341">
        <v>338</v>
      </c>
    </row>
    <row r="342" spans="13:17" x14ac:dyDescent="0.2">
      <c r="M342">
        <v>43845.083333333336</v>
      </c>
      <c r="N342">
        <v>8.2000000000000003E-2</v>
      </c>
      <c r="O342">
        <v>9.1301299879842424E-2</v>
      </c>
      <c r="P342">
        <v>9.3012998798424201E-3</v>
      </c>
      <c r="Q342">
        <v>339</v>
      </c>
    </row>
    <row r="343" spans="13:17" x14ac:dyDescent="0.2">
      <c r="M343">
        <v>43845.125</v>
      </c>
      <c r="N343">
        <v>0.15</v>
      </c>
      <c r="O343">
        <v>0.12376565938310917</v>
      </c>
      <c r="P343">
        <v>-2.6234340616890825E-2</v>
      </c>
      <c r="Q343">
        <v>340</v>
      </c>
    </row>
    <row r="344" spans="13:17" x14ac:dyDescent="0.2">
      <c r="M344">
        <v>43845.166666666664</v>
      </c>
      <c r="N344">
        <v>0.182</v>
      </c>
      <c r="O344">
        <v>0.20838245167724462</v>
      </c>
      <c r="P344">
        <v>2.6382451677244623E-2</v>
      </c>
      <c r="Q344">
        <v>341</v>
      </c>
    </row>
    <row r="345" spans="13:17" x14ac:dyDescent="0.2">
      <c r="M345">
        <v>43845.208333333336</v>
      </c>
      <c r="N345">
        <v>0.16300000000000001</v>
      </c>
      <c r="O345">
        <v>0.27209046004743237</v>
      </c>
      <c r="P345">
        <v>0.10909046004743236</v>
      </c>
      <c r="Q345">
        <v>342</v>
      </c>
    </row>
    <row r="346" spans="13:17" x14ac:dyDescent="0.2">
      <c r="M346">
        <v>43845.25</v>
      </c>
      <c r="N346">
        <v>9.4E-2</v>
      </c>
      <c r="O346">
        <v>0.26320322698020154</v>
      </c>
      <c r="P346">
        <v>0.16920322698020154</v>
      </c>
      <c r="Q346">
        <v>343</v>
      </c>
    </row>
    <row r="347" spans="13:17" x14ac:dyDescent="0.2">
      <c r="M347">
        <v>43845.291666666664</v>
      </c>
      <c r="N347">
        <v>1.2999999999999999E-2</v>
      </c>
      <c r="O347">
        <v>0.19982034566607637</v>
      </c>
      <c r="P347">
        <v>0.18682034566607636</v>
      </c>
      <c r="Q347">
        <v>344</v>
      </c>
    </row>
    <row r="348" spans="13:17" x14ac:dyDescent="0.2">
      <c r="M348">
        <v>43845.333333333336</v>
      </c>
      <c r="N348">
        <v>0.13200000000000001</v>
      </c>
      <c r="O348">
        <v>0.15173893242095793</v>
      </c>
      <c r="P348">
        <v>1.9738932420957922E-2</v>
      </c>
      <c r="Q348">
        <v>345</v>
      </c>
    </row>
    <row r="349" spans="13:17" x14ac:dyDescent="0.2">
      <c r="M349">
        <v>43845.375</v>
      </c>
      <c r="N349">
        <v>0.23499999999999999</v>
      </c>
      <c r="O349">
        <v>0.17248809972153695</v>
      </c>
      <c r="P349">
        <v>-6.251190027846304E-2</v>
      </c>
      <c r="Q349">
        <v>346</v>
      </c>
    </row>
    <row r="350" spans="13:17" x14ac:dyDescent="0.2">
      <c r="M350">
        <v>43845.416666666664</v>
      </c>
      <c r="N350">
        <v>0.29499999999999998</v>
      </c>
      <c r="O350">
        <v>0.24658953578897114</v>
      </c>
      <c r="P350">
        <v>-4.8410464211028847E-2</v>
      </c>
      <c r="Q350">
        <v>347</v>
      </c>
    </row>
    <row r="351" spans="13:17" x14ac:dyDescent="0.2">
      <c r="M351">
        <v>43845.458333333336</v>
      </c>
      <c r="N351">
        <v>0.29399999999999998</v>
      </c>
      <c r="O351">
        <v>0.303431491961204</v>
      </c>
      <c r="P351">
        <v>9.4314919612040193E-3</v>
      </c>
      <c r="Q351">
        <v>348</v>
      </c>
    </row>
    <row r="352" spans="13:17" x14ac:dyDescent="0.2">
      <c r="M352">
        <v>43845.5</v>
      </c>
      <c r="N352">
        <v>0.22900000000000001</v>
      </c>
      <c r="O352">
        <v>0.28540551328300057</v>
      </c>
      <c r="P352">
        <v>5.6405513283000558E-2</v>
      </c>
      <c r="Q352">
        <v>349</v>
      </c>
    </row>
    <row r="353" spans="13:17" x14ac:dyDescent="0.2">
      <c r="M353">
        <v>43845.541666666664</v>
      </c>
      <c r="N353">
        <v>0.111</v>
      </c>
      <c r="O353">
        <v>0.2050659627491789</v>
      </c>
      <c r="P353">
        <v>9.4065962749178902E-2</v>
      </c>
      <c r="Q353">
        <v>350</v>
      </c>
    </row>
    <row r="354" spans="13:17" x14ac:dyDescent="0.2">
      <c r="M354">
        <v>43845.583333333336</v>
      </c>
      <c r="N354">
        <v>3.3000000000000002E-2</v>
      </c>
      <c r="O354">
        <v>0.13548203598219671</v>
      </c>
      <c r="P354">
        <v>0.10248203598219671</v>
      </c>
      <c r="Q354">
        <v>351</v>
      </c>
    </row>
    <row r="355" spans="13:17" x14ac:dyDescent="0.2">
      <c r="M355">
        <v>43845.625</v>
      </c>
      <c r="N355">
        <v>0.17100000000000001</v>
      </c>
      <c r="O355">
        <v>0.1416607712481861</v>
      </c>
      <c r="P355">
        <v>-2.9339228751813912E-2</v>
      </c>
      <c r="Q355">
        <v>352</v>
      </c>
    </row>
    <row r="356" spans="13:17" x14ac:dyDescent="0.2">
      <c r="M356">
        <v>43845.666666666664</v>
      </c>
      <c r="N356">
        <v>0.26900000000000002</v>
      </c>
      <c r="O356">
        <v>0.21817741480926331</v>
      </c>
      <c r="P356">
        <v>-5.0822585190736708E-2</v>
      </c>
      <c r="Q356">
        <v>353</v>
      </c>
    </row>
    <row r="357" spans="13:17" x14ac:dyDescent="0.2">
      <c r="M357">
        <v>43845.708333333336</v>
      </c>
      <c r="N357">
        <v>0.30299999999999999</v>
      </c>
      <c r="O357">
        <v>0.29338433426247212</v>
      </c>
      <c r="P357">
        <v>-9.6156657375278676E-3</v>
      </c>
      <c r="Q357">
        <v>354</v>
      </c>
    </row>
    <row r="358" spans="13:17" x14ac:dyDescent="0.2">
      <c r="M358">
        <v>43845.75</v>
      </c>
      <c r="N358">
        <v>0.26400000000000001</v>
      </c>
      <c r="O358">
        <v>0.29729946770404619</v>
      </c>
      <c r="P358">
        <v>3.3299467704046182E-2</v>
      </c>
      <c r="Q358">
        <v>355</v>
      </c>
    </row>
    <row r="359" spans="13:17" x14ac:dyDescent="0.2">
      <c r="M359">
        <v>43845.791666666664</v>
      </c>
      <c r="N359">
        <v>0.161</v>
      </c>
      <c r="O359">
        <v>0.22871087222594072</v>
      </c>
      <c r="P359">
        <v>6.7710872225940716E-2</v>
      </c>
      <c r="Q359">
        <v>356</v>
      </c>
    </row>
    <row r="360" spans="13:17" x14ac:dyDescent="0.2">
      <c r="M360">
        <v>43845.833333333336</v>
      </c>
      <c r="N360">
        <v>1.7000000000000001E-2</v>
      </c>
      <c r="O360">
        <v>0.15675091857872853</v>
      </c>
      <c r="P360">
        <v>0.13975091857872851</v>
      </c>
      <c r="Q360">
        <v>357</v>
      </c>
    </row>
    <row r="361" spans="13:17" x14ac:dyDescent="0.2">
      <c r="M361">
        <v>43845.875</v>
      </c>
      <c r="N361">
        <v>0.13100000000000001</v>
      </c>
      <c r="O361">
        <v>0.15447338767099372</v>
      </c>
      <c r="P361">
        <v>2.3473387670993717E-2</v>
      </c>
      <c r="Q361">
        <v>358</v>
      </c>
    </row>
    <row r="362" spans="13:17" x14ac:dyDescent="0.2">
      <c r="M362">
        <v>43845.916666666664</v>
      </c>
      <c r="N362">
        <v>0.247</v>
      </c>
      <c r="O362">
        <v>0.22761222256066849</v>
      </c>
      <c r="P362">
        <v>-1.9387777439331511E-2</v>
      </c>
      <c r="Q362">
        <v>359</v>
      </c>
    </row>
    <row r="363" spans="13:17" x14ac:dyDescent="0.2">
      <c r="M363">
        <v>43845.958333333336</v>
      </c>
      <c r="N363">
        <v>0.30199999999999999</v>
      </c>
      <c r="O363">
        <v>0.30732595792875927</v>
      </c>
      <c r="P363">
        <v>5.325957928759284E-3</v>
      </c>
      <c r="Q363">
        <v>360</v>
      </c>
    </row>
  </sheetData>
  <mergeCells count="14">
    <mergeCell ref="O2:O3"/>
    <mergeCell ref="P2:P3"/>
    <mergeCell ref="Q2:Q3"/>
    <mergeCell ref="K2:K3"/>
    <mergeCell ref="E5:E8"/>
    <mergeCell ref="E9:E11"/>
    <mergeCell ref="E12:E13"/>
    <mergeCell ref="N2:N3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orientation="portrait" horizontalDpi="4294967293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K360"/>
  <sheetViews>
    <sheetView topLeftCell="A28" workbookViewId="0">
      <selection activeCell="K9" sqref="K9"/>
    </sheetView>
  </sheetViews>
  <sheetFormatPr defaultRowHeight="12.75" x14ac:dyDescent="0.2"/>
  <sheetData>
    <row r="1" spans="1:12" x14ac:dyDescent="0.2">
      <c r="A1" s="69">
        <v>2018</v>
      </c>
      <c r="B1" s="69">
        <v>4</v>
      </c>
      <c r="C1" s="69">
        <v>1</v>
      </c>
      <c r="D1" s="69">
        <v>0</v>
      </c>
      <c r="E1" s="69">
        <v>0</v>
      </c>
      <c r="F1" s="69">
        <v>0</v>
      </c>
      <c r="G1" s="69">
        <v>257.37500000000011</v>
      </c>
      <c r="H1">
        <f t="shared" ref="H1:H64" si="0">G1/100</f>
        <v>2.5737500000000013</v>
      </c>
      <c r="L1">
        <v>2.57375</v>
      </c>
    </row>
    <row r="2" spans="1:12" x14ac:dyDescent="0.2">
      <c r="A2" s="69">
        <v>2018</v>
      </c>
      <c r="B2" s="69">
        <v>4</v>
      </c>
      <c r="C2">
        <v>1</v>
      </c>
      <c r="D2">
        <v>1</v>
      </c>
      <c r="E2" s="69">
        <v>0</v>
      </c>
      <c r="F2" s="69">
        <v>0</v>
      </c>
      <c r="G2" s="69">
        <v>248.27500000000001</v>
      </c>
      <c r="H2">
        <f t="shared" si="0"/>
        <v>2.4827500000000002</v>
      </c>
      <c r="L2">
        <v>2.4827499999999998</v>
      </c>
    </row>
    <row r="3" spans="1:12" x14ac:dyDescent="0.2">
      <c r="A3" s="69">
        <v>2018</v>
      </c>
      <c r="B3" s="69">
        <v>4</v>
      </c>
      <c r="C3" s="69">
        <v>1</v>
      </c>
      <c r="D3" s="69">
        <v>2</v>
      </c>
      <c r="E3" s="69">
        <v>0</v>
      </c>
      <c r="F3" s="69">
        <v>0</v>
      </c>
      <c r="G3" s="69">
        <v>241.625</v>
      </c>
      <c r="H3">
        <f t="shared" si="0"/>
        <v>2.4162499999999998</v>
      </c>
      <c r="L3">
        <v>2.4162499999999998</v>
      </c>
    </row>
    <row r="4" spans="1:12" x14ac:dyDescent="0.2">
      <c r="A4" s="69">
        <v>2018</v>
      </c>
      <c r="B4" s="69">
        <v>4</v>
      </c>
      <c r="C4">
        <v>1</v>
      </c>
      <c r="D4">
        <v>3</v>
      </c>
      <c r="E4" s="69">
        <v>0</v>
      </c>
      <c r="F4" s="69">
        <v>0</v>
      </c>
      <c r="G4" s="69">
        <v>233.25</v>
      </c>
      <c r="H4">
        <f t="shared" si="0"/>
        <v>2.3325</v>
      </c>
      <c r="L4">
        <v>2.3325</v>
      </c>
    </row>
    <row r="5" spans="1:12" x14ac:dyDescent="0.2">
      <c r="A5" s="69">
        <v>2018</v>
      </c>
      <c r="B5" s="69">
        <v>4</v>
      </c>
      <c r="C5" s="69">
        <v>1</v>
      </c>
      <c r="D5" s="69">
        <v>4</v>
      </c>
      <c r="E5" s="69">
        <v>0</v>
      </c>
      <c r="F5" s="69">
        <v>0</v>
      </c>
      <c r="G5" s="69">
        <v>228.47499999999999</v>
      </c>
      <c r="H5">
        <f t="shared" si="0"/>
        <v>2.2847499999999998</v>
      </c>
      <c r="L5">
        <v>2.2847499999999998</v>
      </c>
    </row>
    <row r="6" spans="1:12" x14ac:dyDescent="0.2">
      <c r="A6" s="69">
        <v>2018</v>
      </c>
      <c r="B6" s="69">
        <v>4</v>
      </c>
      <c r="C6">
        <v>1</v>
      </c>
      <c r="D6">
        <v>5</v>
      </c>
      <c r="E6" s="69">
        <v>0</v>
      </c>
      <c r="F6" s="69">
        <v>0</v>
      </c>
      <c r="G6" s="69">
        <v>231.02500000000001</v>
      </c>
      <c r="H6">
        <f t="shared" si="0"/>
        <v>2.3102499999999999</v>
      </c>
      <c r="L6">
        <v>2.3102499999999999</v>
      </c>
    </row>
    <row r="7" spans="1:12" x14ac:dyDescent="0.2">
      <c r="A7" s="69">
        <v>2018</v>
      </c>
      <c r="B7" s="69">
        <v>4</v>
      </c>
      <c r="C7" s="69">
        <v>1</v>
      </c>
      <c r="D7" s="69">
        <v>6</v>
      </c>
      <c r="E7" s="69">
        <v>0</v>
      </c>
      <c r="F7" s="69">
        <v>0</v>
      </c>
      <c r="G7" s="69">
        <v>232</v>
      </c>
      <c r="H7">
        <f t="shared" si="0"/>
        <v>2.3199999999999998</v>
      </c>
      <c r="L7">
        <v>2.3199999999999998</v>
      </c>
    </row>
    <row r="8" spans="1:12" x14ac:dyDescent="0.2">
      <c r="A8" s="69">
        <v>2018</v>
      </c>
      <c r="B8" s="69">
        <v>4</v>
      </c>
      <c r="C8">
        <v>1</v>
      </c>
      <c r="D8">
        <v>7</v>
      </c>
      <c r="E8" s="69">
        <v>0</v>
      </c>
      <c r="F8" s="69">
        <v>0</v>
      </c>
      <c r="G8" s="69">
        <v>242.35</v>
      </c>
      <c r="H8">
        <f t="shared" si="0"/>
        <v>2.4234999999999998</v>
      </c>
      <c r="L8">
        <v>2.4235000000000002</v>
      </c>
    </row>
    <row r="9" spans="1:12" x14ac:dyDescent="0.2">
      <c r="A9" s="69">
        <v>2018</v>
      </c>
      <c r="B9" s="69">
        <v>4</v>
      </c>
      <c r="C9" s="69">
        <v>1</v>
      </c>
      <c r="D9" s="69">
        <v>8</v>
      </c>
      <c r="E9" s="69">
        <v>0</v>
      </c>
      <c r="F9" s="69">
        <v>0</v>
      </c>
      <c r="G9" s="69">
        <v>251.25</v>
      </c>
      <c r="H9">
        <f t="shared" si="0"/>
        <v>2.5125000000000002</v>
      </c>
      <c r="L9">
        <v>2.5125000000000002</v>
      </c>
    </row>
    <row r="10" spans="1:12" x14ac:dyDescent="0.2">
      <c r="A10" s="69">
        <v>2018</v>
      </c>
      <c r="B10" s="69">
        <v>4</v>
      </c>
      <c r="C10">
        <v>1</v>
      </c>
      <c r="D10">
        <v>9</v>
      </c>
      <c r="E10" s="69">
        <v>0</v>
      </c>
      <c r="F10" s="69">
        <v>0</v>
      </c>
      <c r="G10" s="69">
        <v>257.97500000000002</v>
      </c>
      <c r="H10">
        <f t="shared" si="0"/>
        <v>2.5797500000000002</v>
      </c>
      <c r="L10">
        <v>2.5797500000000002</v>
      </c>
    </row>
    <row r="11" spans="1:12" x14ac:dyDescent="0.2">
      <c r="A11" s="69">
        <v>2018</v>
      </c>
      <c r="B11" s="69">
        <v>4</v>
      </c>
      <c r="C11" s="69">
        <v>1</v>
      </c>
      <c r="D11" s="69">
        <v>10</v>
      </c>
      <c r="E11" s="69">
        <v>0</v>
      </c>
      <c r="F11" s="69">
        <v>0</v>
      </c>
      <c r="G11" s="69">
        <v>261.14999999999998</v>
      </c>
      <c r="H11">
        <f t="shared" si="0"/>
        <v>2.6114999999999999</v>
      </c>
      <c r="L11">
        <v>2.6114999999999999</v>
      </c>
    </row>
    <row r="12" spans="1:12" x14ac:dyDescent="0.2">
      <c r="A12" s="69">
        <v>2018</v>
      </c>
      <c r="B12" s="69">
        <v>4</v>
      </c>
      <c r="C12">
        <v>1</v>
      </c>
      <c r="D12">
        <v>11</v>
      </c>
      <c r="E12" s="69">
        <v>0</v>
      </c>
      <c r="F12" s="69">
        <v>0</v>
      </c>
      <c r="G12" s="69">
        <v>260.45</v>
      </c>
      <c r="H12">
        <f t="shared" si="0"/>
        <v>2.6044999999999998</v>
      </c>
      <c r="L12">
        <v>2.6044999999999998</v>
      </c>
    </row>
    <row r="13" spans="1:12" x14ac:dyDescent="0.2">
      <c r="A13" s="69">
        <v>2018</v>
      </c>
      <c r="B13" s="69">
        <v>4</v>
      </c>
      <c r="C13" s="69">
        <v>1</v>
      </c>
      <c r="D13" s="69">
        <v>12</v>
      </c>
      <c r="E13" s="69">
        <v>0</v>
      </c>
      <c r="F13" s="69">
        <v>0</v>
      </c>
      <c r="G13" s="69">
        <v>261.14999999999998</v>
      </c>
      <c r="H13">
        <f t="shared" si="0"/>
        <v>2.6114999999999999</v>
      </c>
      <c r="L13">
        <v>2.6114999999999999</v>
      </c>
    </row>
    <row r="14" spans="1:12" x14ac:dyDescent="0.2">
      <c r="A14" s="69">
        <v>2018</v>
      </c>
      <c r="B14" s="69">
        <v>4</v>
      </c>
      <c r="C14">
        <v>1</v>
      </c>
      <c r="D14">
        <v>13</v>
      </c>
      <c r="E14" s="69">
        <v>0</v>
      </c>
      <c r="F14" s="69">
        <v>0</v>
      </c>
      <c r="G14" s="69">
        <v>256.85000000000002</v>
      </c>
      <c r="H14">
        <f t="shared" si="0"/>
        <v>2.5685000000000002</v>
      </c>
      <c r="L14">
        <v>2.5684999999999998</v>
      </c>
    </row>
    <row r="15" spans="1:12" x14ac:dyDescent="0.2">
      <c r="A15" s="69">
        <v>2018</v>
      </c>
      <c r="B15" s="69">
        <v>4</v>
      </c>
      <c r="C15" s="69">
        <v>1</v>
      </c>
      <c r="D15" s="69">
        <v>14</v>
      </c>
      <c r="E15" s="69">
        <v>0</v>
      </c>
      <c r="F15" s="69">
        <v>0</v>
      </c>
      <c r="G15" s="69">
        <v>254.97499999999999</v>
      </c>
      <c r="H15">
        <f t="shared" si="0"/>
        <v>2.54975</v>
      </c>
      <c r="L15">
        <v>2.54975</v>
      </c>
    </row>
    <row r="16" spans="1:12" x14ac:dyDescent="0.2">
      <c r="A16" s="69">
        <v>2018</v>
      </c>
      <c r="B16" s="69">
        <v>4</v>
      </c>
      <c r="C16">
        <v>1</v>
      </c>
      <c r="D16">
        <v>15</v>
      </c>
      <c r="E16" s="69">
        <v>0</v>
      </c>
      <c r="F16" s="69">
        <v>0</v>
      </c>
      <c r="G16" s="69">
        <v>250.25</v>
      </c>
      <c r="H16">
        <f t="shared" si="0"/>
        <v>2.5024999999999999</v>
      </c>
      <c r="L16">
        <v>2.5024999999999999</v>
      </c>
    </row>
    <row r="17" spans="1:37" x14ac:dyDescent="0.2">
      <c r="A17" s="69">
        <v>2018</v>
      </c>
      <c r="B17" s="69">
        <v>4</v>
      </c>
      <c r="C17" s="69">
        <v>1</v>
      </c>
      <c r="D17" s="69">
        <v>16</v>
      </c>
      <c r="E17" s="69">
        <v>0</v>
      </c>
      <c r="F17" s="69">
        <v>0</v>
      </c>
      <c r="G17" s="69">
        <v>245.92500000000001</v>
      </c>
      <c r="H17">
        <f t="shared" si="0"/>
        <v>2.4592499999999999</v>
      </c>
      <c r="L17">
        <v>2.4592499999999999</v>
      </c>
    </row>
    <row r="18" spans="1:37" x14ac:dyDescent="0.2">
      <c r="A18" s="69">
        <v>2018</v>
      </c>
      <c r="B18" s="69">
        <v>4</v>
      </c>
      <c r="C18">
        <v>1</v>
      </c>
      <c r="D18">
        <v>17</v>
      </c>
      <c r="E18" s="69">
        <v>0</v>
      </c>
      <c r="F18" s="69">
        <v>0</v>
      </c>
      <c r="G18" s="69">
        <v>252.55</v>
      </c>
      <c r="H18">
        <f t="shared" si="0"/>
        <v>2.5255000000000001</v>
      </c>
      <c r="L18">
        <v>2.5255000000000001</v>
      </c>
    </row>
    <row r="19" spans="1:37" x14ac:dyDescent="0.2">
      <c r="A19" s="69">
        <v>2018</v>
      </c>
      <c r="B19" s="69">
        <v>4</v>
      </c>
      <c r="C19" s="69">
        <v>1</v>
      </c>
      <c r="D19" s="69">
        <v>18</v>
      </c>
      <c r="E19" s="69">
        <v>0</v>
      </c>
      <c r="F19" s="69">
        <v>0</v>
      </c>
      <c r="G19" s="69">
        <v>257.52499999999998</v>
      </c>
      <c r="H19">
        <f t="shared" si="0"/>
        <v>2.5752499999999996</v>
      </c>
      <c r="L19">
        <v>2.57525</v>
      </c>
    </row>
    <row r="20" spans="1:37" x14ac:dyDescent="0.2">
      <c r="A20" s="69">
        <v>2018</v>
      </c>
      <c r="B20" s="69">
        <v>4</v>
      </c>
      <c r="C20">
        <v>1</v>
      </c>
      <c r="D20">
        <v>19</v>
      </c>
      <c r="E20" s="69">
        <v>0</v>
      </c>
      <c r="F20" s="69">
        <v>0</v>
      </c>
      <c r="G20" s="69">
        <v>263.82499999999999</v>
      </c>
      <c r="H20">
        <f t="shared" si="0"/>
        <v>2.6382499999999998</v>
      </c>
      <c r="L20">
        <v>2.6382500000000011</v>
      </c>
    </row>
    <row r="21" spans="1:37" x14ac:dyDescent="0.2">
      <c r="A21" s="69">
        <v>2018</v>
      </c>
      <c r="B21" s="69">
        <v>4</v>
      </c>
      <c r="C21" s="69">
        <v>1</v>
      </c>
      <c r="D21" s="69">
        <v>20</v>
      </c>
      <c r="E21" s="69">
        <v>0</v>
      </c>
      <c r="F21" s="69">
        <v>0</v>
      </c>
      <c r="G21" s="69">
        <v>266.77499999999998</v>
      </c>
      <c r="H21">
        <f t="shared" si="0"/>
        <v>2.6677499999999998</v>
      </c>
      <c r="L21">
        <v>2.6677499999999998</v>
      </c>
      <c r="N21">
        <v>2.57375</v>
      </c>
      <c r="O21">
        <v>2.4827499999999998</v>
      </c>
      <c r="P21">
        <v>2.4162499999999998</v>
      </c>
      <c r="Q21">
        <v>2.3325</v>
      </c>
      <c r="R21">
        <v>2.2847499999999998</v>
      </c>
      <c r="S21">
        <v>2.3102499999999999</v>
      </c>
      <c r="T21">
        <v>2.3199999999999998</v>
      </c>
      <c r="U21">
        <v>2.4235000000000002</v>
      </c>
      <c r="V21">
        <v>2.5125000000000002</v>
      </c>
      <c r="W21">
        <v>2.5797500000000002</v>
      </c>
      <c r="X21">
        <v>2.6114999999999999</v>
      </c>
      <c r="Y21">
        <v>2.6044999999999998</v>
      </c>
      <c r="Z21">
        <v>2.6114999999999999</v>
      </c>
      <c r="AA21">
        <v>2.5684999999999998</v>
      </c>
      <c r="AB21">
        <v>2.54975</v>
      </c>
      <c r="AC21">
        <v>2.5024999999999999</v>
      </c>
      <c r="AD21">
        <v>2.4592499999999999</v>
      </c>
      <c r="AE21">
        <v>2.5255000000000001</v>
      </c>
      <c r="AF21">
        <v>2.57525</v>
      </c>
      <c r="AG21">
        <v>2.6382500000000011</v>
      </c>
      <c r="AH21">
        <v>2.6677499999999998</v>
      </c>
      <c r="AI21">
        <v>2.6927500000000002</v>
      </c>
      <c r="AJ21">
        <v>2.7275</v>
      </c>
      <c r="AK21">
        <v>2.71</v>
      </c>
    </row>
    <row r="22" spans="1:37" x14ac:dyDescent="0.2">
      <c r="A22" s="69">
        <v>2018</v>
      </c>
      <c r="B22" s="69">
        <v>4</v>
      </c>
      <c r="C22">
        <v>1</v>
      </c>
      <c r="D22">
        <v>21</v>
      </c>
      <c r="E22" s="69">
        <v>0</v>
      </c>
      <c r="F22" s="69">
        <v>0</v>
      </c>
      <c r="G22" s="69">
        <v>269.27499999999998</v>
      </c>
      <c r="H22">
        <f t="shared" si="0"/>
        <v>2.6927499999999998</v>
      </c>
      <c r="L22">
        <v>2.6927500000000002</v>
      </c>
    </row>
    <row r="23" spans="1:37" x14ac:dyDescent="0.2">
      <c r="A23" s="69">
        <v>2018</v>
      </c>
      <c r="B23" s="69">
        <v>4</v>
      </c>
      <c r="C23" s="69">
        <v>1</v>
      </c>
      <c r="D23" s="69">
        <v>22</v>
      </c>
      <c r="E23" s="69">
        <v>0</v>
      </c>
      <c r="F23" s="69">
        <v>0</v>
      </c>
      <c r="G23" s="69">
        <v>272.75</v>
      </c>
      <c r="H23">
        <f t="shared" si="0"/>
        <v>2.7275</v>
      </c>
      <c r="L23">
        <v>2.7275</v>
      </c>
    </row>
    <row r="24" spans="1:37" x14ac:dyDescent="0.2">
      <c r="A24" s="69">
        <v>2018</v>
      </c>
      <c r="B24" s="69">
        <v>4</v>
      </c>
      <c r="C24">
        <v>1</v>
      </c>
      <c r="D24">
        <v>23</v>
      </c>
      <c r="E24" s="69">
        <v>0</v>
      </c>
      <c r="F24" s="69">
        <v>0</v>
      </c>
      <c r="G24" s="69">
        <v>271</v>
      </c>
      <c r="H24">
        <f t="shared" si="0"/>
        <v>2.71</v>
      </c>
      <c r="L24">
        <v>2.71</v>
      </c>
    </row>
    <row r="25" spans="1:37" x14ac:dyDescent="0.2">
      <c r="A25" s="69">
        <v>2018</v>
      </c>
      <c r="B25" s="69">
        <v>4</v>
      </c>
      <c r="C25" s="69">
        <v>2</v>
      </c>
      <c r="D25" s="69">
        <v>0</v>
      </c>
      <c r="E25" s="69">
        <v>0</v>
      </c>
      <c r="F25" s="69">
        <v>0</v>
      </c>
      <c r="G25" s="69">
        <v>268.12500000000011</v>
      </c>
      <c r="H25">
        <f t="shared" si="0"/>
        <v>2.6812500000000012</v>
      </c>
    </row>
    <row r="26" spans="1:37" x14ac:dyDescent="0.2">
      <c r="A26" s="69">
        <v>2018</v>
      </c>
      <c r="B26" s="69">
        <v>4</v>
      </c>
      <c r="C26">
        <v>2</v>
      </c>
      <c r="D26">
        <v>1</v>
      </c>
      <c r="E26" s="69">
        <v>0</v>
      </c>
      <c r="F26" s="69">
        <v>0</v>
      </c>
      <c r="G26" s="69">
        <v>262.3</v>
      </c>
      <c r="H26">
        <f t="shared" si="0"/>
        <v>2.6230000000000002</v>
      </c>
    </row>
    <row r="27" spans="1:37" x14ac:dyDescent="0.2">
      <c r="A27" s="69">
        <v>2018</v>
      </c>
      <c r="B27" s="69">
        <v>4</v>
      </c>
      <c r="C27" s="69">
        <v>2</v>
      </c>
      <c r="D27" s="69">
        <v>2</v>
      </c>
      <c r="E27" s="69">
        <v>0</v>
      </c>
      <c r="F27" s="69">
        <v>0</v>
      </c>
      <c r="G27" s="69">
        <v>255.45</v>
      </c>
      <c r="H27">
        <f t="shared" si="0"/>
        <v>2.5545</v>
      </c>
    </row>
    <row r="28" spans="1:37" x14ac:dyDescent="0.2">
      <c r="A28" s="69">
        <v>2018</v>
      </c>
      <c r="B28" s="69">
        <v>4</v>
      </c>
      <c r="C28">
        <v>2</v>
      </c>
      <c r="D28">
        <v>3</v>
      </c>
      <c r="E28" s="69">
        <v>0</v>
      </c>
      <c r="F28" s="69">
        <v>0</v>
      </c>
      <c r="G28" s="69">
        <v>246.82499999999999</v>
      </c>
      <c r="H28">
        <f t="shared" si="0"/>
        <v>2.4682499999999998</v>
      </c>
    </row>
    <row r="29" spans="1:37" x14ac:dyDescent="0.2">
      <c r="A29" s="69">
        <v>2018</v>
      </c>
      <c r="B29" s="69">
        <v>4</v>
      </c>
      <c r="C29" s="69">
        <v>2</v>
      </c>
      <c r="D29" s="69">
        <v>4</v>
      </c>
      <c r="E29" s="69">
        <v>0</v>
      </c>
      <c r="F29" s="69">
        <v>0</v>
      </c>
      <c r="G29" s="69">
        <v>239.15</v>
      </c>
      <c r="H29">
        <f t="shared" si="0"/>
        <v>2.3915000000000002</v>
      </c>
    </row>
    <row r="30" spans="1:37" x14ac:dyDescent="0.2">
      <c r="A30" s="69">
        <v>2018</v>
      </c>
      <c r="B30" s="69">
        <v>4</v>
      </c>
      <c r="C30">
        <v>2</v>
      </c>
      <c r="D30">
        <v>5</v>
      </c>
      <c r="E30" s="69">
        <v>0</v>
      </c>
      <c r="F30" s="69">
        <v>0</v>
      </c>
      <c r="G30" s="69">
        <v>231.52500000000001</v>
      </c>
      <c r="H30">
        <f t="shared" si="0"/>
        <v>2.3152500000000003</v>
      </c>
    </row>
    <row r="31" spans="1:37" x14ac:dyDescent="0.2">
      <c r="A31" s="69">
        <v>2018</v>
      </c>
      <c r="B31" s="69">
        <v>4</v>
      </c>
      <c r="C31" s="69">
        <v>2</v>
      </c>
      <c r="D31" s="69">
        <v>6</v>
      </c>
      <c r="E31" s="69">
        <v>0</v>
      </c>
      <c r="F31" s="69">
        <v>0</v>
      </c>
      <c r="G31" s="69">
        <v>230.35</v>
      </c>
      <c r="H31">
        <f t="shared" si="0"/>
        <v>2.3035000000000001</v>
      </c>
    </row>
    <row r="32" spans="1:37" x14ac:dyDescent="0.2">
      <c r="A32" s="69">
        <v>2018</v>
      </c>
      <c r="B32" s="69">
        <v>4</v>
      </c>
      <c r="C32">
        <v>2</v>
      </c>
      <c r="D32">
        <v>7</v>
      </c>
      <c r="E32" s="69">
        <v>0</v>
      </c>
      <c r="F32" s="69">
        <v>0</v>
      </c>
      <c r="G32" s="69">
        <v>233.42500000000001</v>
      </c>
      <c r="H32">
        <f t="shared" si="0"/>
        <v>2.3342499999999999</v>
      </c>
    </row>
    <row r="33" spans="1:8" x14ac:dyDescent="0.2">
      <c r="A33" s="69">
        <v>2018</v>
      </c>
      <c r="B33" s="69">
        <v>4</v>
      </c>
      <c r="C33" s="69">
        <v>2</v>
      </c>
      <c r="D33" s="69">
        <v>8</v>
      </c>
      <c r="E33" s="69">
        <v>0</v>
      </c>
      <c r="F33" s="69">
        <v>0</v>
      </c>
      <c r="G33" s="69">
        <v>234.7</v>
      </c>
      <c r="H33">
        <f t="shared" si="0"/>
        <v>2.347</v>
      </c>
    </row>
    <row r="34" spans="1:8" x14ac:dyDescent="0.2">
      <c r="A34" s="69">
        <v>2018</v>
      </c>
      <c r="B34" s="69">
        <v>4</v>
      </c>
      <c r="C34">
        <v>2</v>
      </c>
      <c r="D34">
        <v>9</v>
      </c>
      <c r="E34" s="69">
        <v>0</v>
      </c>
      <c r="F34" s="69">
        <v>0</v>
      </c>
      <c r="G34" s="69">
        <v>238.57499999999999</v>
      </c>
      <c r="H34">
        <f t="shared" si="0"/>
        <v>2.3857499999999998</v>
      </c>
    </row>
    <row r="35" spans="1:8" x14ac:dyDescent="0.2">
      <c r="A35" s="69">
        <v>2018</v>
      </c>
      <c r="B35" s="69">
        <v>4</v>
      </c>
      <c r="C35" s="69">
        <v>2</v>
      </c>
      <c r="D35" s="69">
        <v>10</v>
      </c>
      <c r="E35" s="69">
        <v>0</v>
      </c>
      <c r="F35" s="69">
        <v>0</v>
      </c>
      <c r="G35" s="69">
        <v>245.85</v>
      </c>
      <c r="H35">
        <f t="shared" si="0"/>
        <v>2.4584999999999999</v>
      </c>
    </row>
    <row r="36" spans="1:8" x14ac:dyDescent="0.2">
      <c r="A36" s="69">
        <v>2018</v>
      </c>
      <c r="B36" s="69">
        <v>4</v>
      </c>
      <c r="C36">
        <v>2</v>
      </c>
      <c r="D36">
        <v>11</v>
      </c>
      <c r="E36" s="69">
        <v>0</v>
      </c>
      <c r="F36" s="69">
        <v>0</v>
      </c>
      <c r="G36" s="69">
        <v>245.6</v>
      </c>
      <c r="H36">
        <f t="shared" si="0"/>
        <v>2.456</v>
      </c>
    </row>
    <row r="37" spans="1:8" x14ac:dyDescent="0.2">
      <c r="A37" s="69">
        <v>2018</v>
      </c>
      <c r="B37" s="69">
        <v>4</v>
      </c>
      <c r="C37" s="69">
        <v>2</v>
      </c>
      <c r="D37" s="69">
        <v>12</v>
      </c>
      <c r="E37" s="69">
        <v>0</v>
      </c>
      <c r="F37" s="69">
        <v>0</v>
      </c>
      <c r="G37" s="69">
        <v>249.95</v>
      </c>
      <c r="H37">
        <f t="shared" si="0"/>
        <v>2.4994999999999998</v>
      </c>
    </row>
    <row r="38" spans="1:8" x14ac:dyDescent="0.2">
      <c r="A38" s="69">
        <v>2018</v>
      </c>
      <c r="B38" s="69">
        <v>4</v>
      </c>
      <c r="C38">
        <v>2</v>
      </c>
      <c r="D38">
        <v>13</v>
      </c>
      <c r="E38" s="69">
        <v>0</v>
      </c>
      <c r="F38" s="69">
        <v>0</v>
      </c>
      <c r="G38" s="69">
        <v>253.15</v>
      </c>
      <c r="H38">
        <f t="shared" si="0"/>
        <v>2.5314999999999999</v>
      </c>
    </row>
    <row r="39" spans="1:8" x14ac:dyDescent="0.2">
      <c r="A39" s="69">
        <v>2018</v>
      </c>
      <c r="B39" s="69">
        <v>4</v>
      </c>
      <c r="C39" s="69">
        <v>2</v>
      </c>
      <c r="D39" s="69">
        <v>14</v>
      </c>
      <c r="E39" s="69">
        <v>0</v>
      </c>
      <c r="F39" s="69">
        <v>0</v>
      </c>
      <c r="G39" s="69">
        <v>251.35</v>
      </c>
      <c r="H39">
        <f t="shared" si="0"/>
        <v>2.5135000000000001</v>
      </c>
    </row>
    <row r="40" spans="1:8" x14ac:dyDescent="0.2">
      <c r="A40" s="69">
        <v>2018</v>
      </c>
      <c r="B40" s="69">
        <v>4</v>
      </c>
      <c r="C40">
        <v>2</v>
      </c>
      <c r="D40">
        <v>15</v>
      </c>
      <c r="E40" s="69">
        <v>0</v>
      </c>
      <c r="F40" s="69">
        <v>0</v>
      </c>
      <c r="G40" s="69">
        <v>252.95</v>
      </c>
      <c r="H40">
        <f t="shared" si="0"/>
        <v>2.5295000000000001</v>
      </c>
    </row>
    <row r="41" spans="1:8" x14ac:dyDescent="0.2">
      <c r="A41" s="69">
        <v>2018</v>
      </c>
      <c r="B41" s="69">
        <v>4</v>
      </c>
      <c r="C41" s="69">
        <v>2</v>
      </c>
      <c r="D41" s="69">
        <v>16</v>
      </c>
      <c r="E41" s="69">
        <v>0</v>
      </c>
      <c r="F41" s="69">
        <v>0</v>
      </c>
      <c r="G41" s="69">
        <v>251.875</v>
      </c>
      <c r="H41">
        <f t="shared" si="0"/>
        <v>2.5187499999999998</v>
      </c>
    </row>
    <row r="42" spans="1:8" x14ac:dyDescent="0.2">
      <c r="A42" s="69">
        <v>2018</v>
      </c>
      <c r="B42" s="69">
        <v>4</v>
      </c>
      <c r="C42">
        <v>2</v>
      </c>
      <c r="D42">
        <v>17</v>
      </c>
      <c r="E42" s="69">
        <v>0</v>
      </c>
      <c r="F42" s="69">
        <v>0</v>
      </c>
      <c r="G42" s="69">
        <v>254.27500000000001</v>
      </c>
      <c r="H42">
        <f t="shared" si="0"/>
        <v>2.5427499999999998</v>
      </c>
    </row>
    <row r="43" spans="1:8" x14ac:dyDescent="0.2">
      <c r="A43" s="69">
        <v>2018</v>
      </c>
      <c r="B43" s="69">
        <v>4</v>
      </c>
      <c r="C43" s="69">
        <v>2</v>
      </c>
      <c r="D43" s="69">
        <v>18</v>
      </c>
      <c r="E43" s="69">
        <v>0</v>
      </c>
      <c r="F43" s="69">
        <v>0</v>
      </c>
      <c r="G43" s="69">
        <v>255.4</v>
      </c>
      <c r="H43">
        <f t="shared" si="0"/>
        <v>2.5540000000000003</v>
      </c>
    </row>
    <row r="44" spans="1:8" x14ac:dyDescent="0.2">
      <c r="A44" s="69">
        <v>2018</v>
      </c>
      <c r="B44" s="69">
        <v>4</v>
      </c>
      <c r="C44">
        <v>2</v>
      </c>
      <c r="D44">
        <v>19</v>
      </c>
      <c r="E44" s="69">
        <v>0</v>
      </c>
      <c r="F44" s="69">
        <v>0</v>
      </c>
      <c r="G44" s="69">
        <v>258.32499999999999</v>
      </c>
      <c r="H44">
        <f t="shared" si="0"/>
        <v>2.58325</v>
      </c>
    </row>
    <row r="45" spans="1:8" x14ac:dyDescent="0.2">
      <c r="A45" s="69">
        <v>2018</v>
      </c>
      <c r="B45" s="69">
        <v>4</v>
      </c>
      <c r="C45" s="69">
        <v>2</v>
      </c>
      <c r="D45" s="69">
        <v>20</v>
      </c>
      <c r="E45" s="69">
        <v>0</v>
      </c>
      <c r="F45" s="69">
        <v>0</v>
      </c>
      <c r="G45" s="69">
        <v>259.82499999999999</v>
      </c>
      <c r="H45">
        <f t="shared" si="0"/>
        <v>2.5982499999999997</v>
      </c>
    </row>
    <row r="46" spans="1:8" x14ac:dyDescent="0.2">
      <c r="A46" s="69">
        <v>2018</v>
      </c>
      <c r="B46" s="69">
        <v>4</v>
      </c>
      <c r="C46">
        <v>2</v>
      </c>
      <c r="D46">
        <v>21</v>
      </c>
      <c r="E46" s="69">
        <v>0</v>
      </c>
      <c r="F46" s="69">
        <v>0</v>
      </c>
      <c r="G46" s="69">
        <v>262.02499999999998</v>
      </c>
      <c r="H46">
        <f t="shared" si="0"/>
        <v>2.62025</v>
      </c>
    </row>
    <row r="47" spans="1:8" x14ac:dyDescent="0.2">
      <c r="A47" s="69">
        <v>2018</v>
      </c>
      <c r="B47" s="69">
        <v>4</v>
      </c>
      <c r="C47" s="69">
        <v>2</v>
      </c>
      <c r="D47" s="69">
        <v>22</v>
      </c>
      <c r="E47" s="69">
        <v>0</v>
      </c>
      <c r="F47" s="69">
        <v>0</v>
      </c>
      <c r="G47" s="69">
        <v>267.2</v>
      </c>
      <c r="H47">
        <f t="shared" si="0"/>
        <v>2.6719999999999997</v>
      </c>
    </row>
    <row r="48" spans="1:8" x14ac:dyDescent="0.2">
      <c r="A48" s="69">
        <v>2018</v>
      </c>
      <c r="B48" s="69">
        <v>4</v>
      </c>
      <c r="C48">
        <v>2</v>
      </c>
      <c r="D48">
        <v>23</v>
      </c>
      <c r="E48" s="69">
        <v>0</v>
      </c>
      <c r="F48" s="69">
        <v>0</v>
      </c>
      <c r="G48" s="69">
        <v>267.62499999999989</v>
      </c>
      <c r="H48">
        <f t="shared" si="0"/>
        <v>2.6762499999999987</v>
      </c>
    </row>
    <row r="49" spans="1:8" x14ac:dyDescent="0.2">
      <c r="A49" s="69">
        <v>2018</v>
      </c>
      <c r="B49" s="69">
        <v>4</v>
      </c>
      <c r="C49" s="69">
        <v>3</v>
      </c>
      <c r="D49" s="69">
        <v>0</v>
      </c>
      <c r="E49" s="69">
        <v>0</v>
      </c>
      <c r="F49" s="69">
        <v>0</v>
      </c>
      <c r="G49" s="69">
        <v>268.82499999999999</v>
      </c>
      <c r="H49">
        <f t="shared" si="0"/>
        <v>2.68825</v>
      </c>
    </row>
    <row r="50" spans="1:8" x14ac:dyDescent="0.2">
      <c r="A50" s="69">
        <v>2018</v>
      </c>
      <c r="B50" s="69">
        <v>4</v>
      </c>
      <c r="C50" s="69">
        <v>3</v>
      </c>
      <c r="D50">
        <v>1</v>
      </c>
      <c r="E50" s="69">
        <v>0</v>
      </c>
      <c r="F50" s="69">
        <v>0</v>
      </c>
      <c r="G50" s="69">
        <v>267.02499999999998</v>
      </c>
      <c r="H50">
        <f t="shared" si="0"/>
        <v>2.6702499999999998</v>
      </c>
    </row>
    <row r="51" spans="1:8" x14ac:dyDescent="0.2">
      <c r="A51" s="69">
        <v>2018</v>
      </c>
      <c r="B51" s="69">
        <v>4</v>
      </c>
      <c r="C51" s="69">
        <v>3</v>
      </c>
      <c r="D51" s="69">
        <v>2</v>
      </c>
      <c r="E51" s="69">
        <v>0</v>
      </c>
      <c r="F51" s="69">
        <v>0</v>
      </c>
      <c r="G51" s="69">
        <v>260.72500000000002</v>
      </c>
      <c r="H51">
        <f t="shared" si="0"/>
        <v>2.6072500000000001</v>
      </c>
    </row>
    <row r="52" spans="1:8" x14ac:dyDescent="0.2">
      <c r="A52" s="69">
        <v>2018</v>
      </c>
      <c r="B52" s="69">
        <v>4</v>
      </c>
      <c r="C52" s="69">
        <v>3</v>
      </c>
      <c r="D52">
        <v>3</v>
      </c>
      <c r="E52" s="69">
        <v>0</v>
      </c>
      <c r="F52" s="69">
        <v>0</v>
      </c>
      <c r="G52" s="69">
        <v>258.25</v>
      </c>
      <c r="H52">
        <f t="shared" si="0"/>
        <v>2.5825</v>
      </c>
    </row>
    <row r="53" spans="1:8" x14ac:dyDescent="0.2">
      <c r="A53" s="69">
        <v>2018</v>
      </c>
      <c r="B53" s="69">
        <v>4</v>
      </c>
      <c r="C53" s="69">
        <v>3</v>
      </c>
      <c r="D53" s="69">
        <v>4</v>
      </c>
      <c r="E53" s="69">
        <v>0</v>
      </c>
      <c r="F53" s="69">
        <v>0</v>
      </c>
      <c r="G53" s="69">
        <v>244.65</v>
      </c>
      <c r="H53">
        <f t="shared" si="0"/>
        <v>2.4464999999999999</v>
      </c>
    </row>
    <row r="54" spans="1:8" x14ac:dyDescent="0.2">
      <c r="A54" s="69">
        <v>2018</v>
      </c>
      <c r="B54" s="69">
        <v>4</v>
      </c>
      <c r="C54" s="69">
        <v>3</v>
      </c>
      <c r="D54">
        <v>5</v>
      </c>
      <c r="E54" s="69">
        <v>0</v>
      </c>
      <c r="F54" s="69">
        <v>0</v>
      </c>
      <c r="G54" s="69">
        <v>237.67500000000001</v>
      </c>
      <c r="H54">
        <f t="shared" si="0"/>
        <v>2.3767499999999999</v>
      </c>
    </row>
    <row r="55" spans="1:8" x14ac:dyDescent="0.2">
      <c r="A55" s="69">
        <v>2018</v>
      </c>
      <c r="B55" s="69">
        <v>4</v>
      </c>
      <c r="C55" s="69">
        <v>3</v>
      </c>
      <c r="D55" s="69">
        <v>6</v>
      </c>
      <c r="E55" s="69">
        <v>0</v>
      </c>
      <c r="F55" s="69">
        <v>0</v>
      </c>
      <c r="G55" s="69">
        <v>227.42500000000001</v>
      </c>
      <c r="H55">
        <f t="shared" si="0"/>
        <v>2.2742500000000003</v>
      </c>
    </row>
    <row r="56" spans="1:8" x14ac:dyDescent="0.2">
      <c r="A56" s="69">
        <v>2018</v>
      </c>
      <c r="B56" s="69">
        <v>4</v>
      </c>
      <c r="C56" s="69">
        <v>3</v>
      </c>
      <c r="D56">
        <v>7</v>
      </c>
      <c r="E56" s="69">
        <v>0</v>
      </c>
      <c r="F56" s="69">
        <v>0</v>
      </c>
      <c r="G56" s="69">
        <v>225.35</v>
      </c>
      <c r="H56">
        <f t="shared" si="0"/>
        <v>2.2534999999999998</v>
      </c>
    </row>
    <row r="57" spans="1:8" x14ac:dyDescent="0.2">
      <c r="A57" s="69">
        <v>2018</v>
      </c>
      <c r="B57" s="69">
        <v>4</v>
      </c>
      <c r="C57" s="69">
        <v>3</v>
      </c>
      <c r="D57" s="69">
        <v>8</v>
      </c>
      <c r="E57" s="69">
        <v>0</v>
      </c>
      <c r="F57" s="69">
        <v>0</v>
      </c>
      <c r="G57" s="69">
        <v>224.95</v>
      </c>
      <c r="H57">
        <f t="shared" si="0"/>
        <v>2.2494999999999998</v>
      </c>
    </row>
    <row r="58" spans="1:8" x14ac:dyDescent="0.2">
      <c r="A58" s="69">
        <v>2018</v>
      </c>
      <c r="B58" s="69">
        <v>4</v>
      </c>
      <c r="C58" s="69">
        <v>3</v>
      </c>
      <c r="D58">
        <v>9</v>
      </c>
      <c r="E58" s="69">
        <v>0</v>
      </c>
      <c r="F58" s="69">
        <v>0</v>
      </c>
      <c r="G58" s="69">
        <v>228.52500000000001</v>
      </c>
      <c r="H58">
        <f t="shared" si="0"/>
        <v>2.28525</v>
      </c>
    </row>
    <row r="59" spans="1:8" x14ac:dyDescent="0.2">
      <c r="A59" s="69">
        <v>2018</v>
      </c>
      <c r="B59" s="69">
        <v>4</v>
      </c>
      <c r="C59" s="69">
        <v>3</v>
      </c>
      <c r="D59" s="69">
        <v>10</v>
      </c>
      <c r="E59" s="69">
        <v>0</v>
      </c>
      <c r="F59" s="69">
        <v>0</v>
      </c>
      <c r="G59" s="69">
        <v>232.57499999999999</v>
      </c>
      <c r="H59">
        <f t="shared" si="0"/>
        <v>2.3257499999999998</v>
      </c>
    </row>
    <row r="60" spans="1:8" x14ac:dyDescent="0.2">
      <c r="A60" s="69">
        <v>2018</v>
      </c>
      <c r="B60" s="69">
        <v>4</v>
      </c>
      <c r="C60" s="69">
        <v>3</v>
      </c>
      <c r="D60">
        <v>11</v>
      </c>
      <c r="E60" s="69">
        <v>0</v>
      </c>
      <c r="F60" s="69">
        <v>0</v>
      </c>
      <c r="G60" s="69">
        <v>237.375</v>
      </c>
      <c r="H60">
        <f t="shared" si="0"/>
        <v>2.3737499999999998</v>
      </c>
    </row>
    <row r="61" spans="1:8" x14ac:dyDescent="0.2">
      <c r="A61" s="69">
        <v>2018</v>
      </c>
      <c r="B61" s="69">
        <v>4</v>
      </c>
      <c r="C61" s="69">
        <v>3</v>
      </c>
      <c r="D61" s="69">
        <v>12</v>
      </c>
      <c r="E61" s="69">
        <v>0</v>
      </c>
      <c r="F61" s="69">
        <v>0</v>
      </c>
      <c r="G61" s="69">
        <v>244.5</v>
      </c>
      <c r="H61">
        <f t="shared" si="0"/>
        <v>2.4449999999999998</v>
      </c>
    </row>
    <row r="62" spans="1:8" x14ac:dyDescent="0.2">
      <c r="A62" s="69">
        <v>2018</v>
      </c>
      <c r="B62" s="69">
        <v>4</v>
      </c>
      <c r="C62" s="69">
        <v>3</v>
      </c>
      <c r="D62">
        <v>13</v>
      </c>
      <c r="E62" s="69">
        <v>0</v>
      </c>
      <c r="F62" s="69">
        <v>0</v>
      </c>
      <c r="G62" s="69">
        <v>249.47499999999999</v>
      </c>
      <c r="H62">
        <f t="shared" si="0"/>
        <v>2.4947499999999998</v>
      </c>
    </row>
    <row r="63" spans="1:8" x14ac:dyDescent="0.2">
      <c r="A63" s="69">
        <v>2018</v>
      </c>
      <c r="B63" s="69">
        <v>4</v>
      </c>
      <c r="C63" s="69">
        <v>3</v>
      </c>
      <c r="D63" s="69">
        <v>14</v>
      </c>
      <c r="E63" s="69">
        <v>0</v>
      </c>
      <c r="F63" s="69">
        <v>0</v>
      </c>
      <c r="G63" s="69">
        <v>249.625</v>
      </c>
      <c r="H63">
        <f t="shared" si="0"/>
        <v>2.4962499999999999</v>
      </c>
    </row>
    <row r="64" spans="1:8" x14ac:dyDescent="0.2">
      <c r="A64" s="69">
        <v>2018</v>
      </c>
      <c r="B64" s="69">
        <v>4</v>
      </c>
      <c r="C64" s="69">
        <v>3</v>
      </c>
      <c r="D64">
        <v>15</v>
      </c>
      <c r="E64" s="69">
        <v>0</v>
      </c>
      <c r="F64" s="69">
        <v>0</v>
      </c>
      <c r="G64" s="69">
        <v>252.55</v>
      </c>
      <c r="H64">
        <f t="shared" si="0"/>
        <v>2.5255000000000001</v>
      </c>
    </row>
    <row r="65" spans="1:8" x14ac:dyDescent="0.2">
      <c r="A65" s="69">
        <v>2018</v>
      </c>
      <c r="B65" s="69">
        <v>4</v>
      </c>
      <c r="C65" s="69">
        <v>3</v>
      </c>
      <c r="D65" s="69">
        <v>16</v>
      </c>
      <c r="E65" s="69">
        <v>0</v>
      </c>
      <c r="F65" s="69">
        <v>0</v>
      </c>
      <c r="G65" s="69">
        <v>252.3</v>
      </c>
      <c r="H65">
        <f t="shared" ref="H65:H128" si="1">G65/100</f>
        <v>2.5230000000000001</v>
      </c>
    </row>
    <row r="66" spans="1:8" x14ac:dyDescent="0.2">
      <c r="A66" s="69">
        <v>2018</v>
      </c>
      <c r="B66" s="69">
        <v>4</v>
      </c>
      <c r="C66" s="69">
        <v>3</v>
      </c>
      <c r="D66">
        <v>17</v>
      </c>
      <c r="E66" s="69">
        <v>0</v>
      </c>
      <c r="F66" s="69">
        <v>0</v>
      </c>
      <c r="G66" s="69">
        <v>251.5</v>
      </c>
      <c r="H66">
        <f t="shared" si="1"/>
        <v>2.5150000000000001</v>
      </c>
    </row>
    <row r="67" spans="1:8" x14ac:dyDescent="0.2">
      <c r="A67" s="69">
        <v>2018</v>
      </c>
      <c r="B67" s="69">
        <v>4</v>
      </c>
      <c r="C67" s="69">
        <v>3</v>
      </c>
      <c r="D67" s="69">
        <v>18</v>
      </c>
      <c r="E67" s="69">
        <v>0</v>
      </c>
      <c r="F67" s="69">
        <v>0</v>
      </c>
      <c r="G67" s="69">
        <v>250.42500000000001</v>
      </c>
      <c r="H67">
        <f t="shared" si="1"/>
        <v>2.5042500000000003</v>
      </c>
    </row>
    <row r="68" spans="1:8" x14ac:dyDescent="0.2">
      <c r="A68" s="69">
        <v>2018</v>
      </c>
      <c r="B68" s="69">
        <v>4</v>
      </c>
      <c r="C68" s="69">
        <v>3</v>
      </c>
      <c r="D68">
        <v>19</v>
      </c>
      <c r="E68" s="69">
        <v>0</v>
      </c>
      <c r="F68" s="69">
        <v>0</v>
      </c>
      <c r="G68" s="69">
        <v>249.6</v>
      </c>
      <c r="H68">
        <f t="shared" si="1"/>
        <v>2.496</v>
      </c>
    </row>
    <row r="69" spans="1:8" x14ac:dyDescent="0.2">
      <c r="A69" s="69">
        <v>2018</v>
      </c>
      <c r="B69" s="69">
        <v>4</v>
      </c>
      <c r="C69" s="69">
        <v>3</v>
      </c>
      <c r="D69" s="69">
        <v>20</v>
      </c>
      <c r="E69" s="69">
        <v>0</v>
      </c>
      <c r="F69" s="69">
        <v>0</v>
      </c>
      <c r="G69" s="69">
        <v>250.625</v>
      </c>
      <c r="H69">
        <f t="shared" si="1"/>
        <v>2.5062500000000001</v>
      </c>
    </row>
    <row r="70" spans="1:8" x14ac:dyDescent="0.2">
      <c r="A70" s="69">
        <v>2018</v>
      </c>
      <c r="B70" s="69">
        <v>4</v>
      </c>
      <c r="C70" s="69">
        <v>3</v>
      </c>
      <c r="D70">
        <v>21</v>
      </c>
      <c r="E70" s="69">
        <v>0</v>
      </c>
      <c r="F70" s="69">
        <v>0</v>
      </c>
      <c r="G70" s="69">
        <v>251.57499999999999</v>
      </c>
      <c r="H70">
        <f t="shared" si="1"/>
        <v>2.5157499999999997</v>
      </c>
    </row>
    <row r="71" spans="1:8" x14ac:dyDescent="0.2">
      <c r="A71" s="69">
        <v>2018</v>
      </c>
      <c r="B71" s="69">
        <v>4</v>
      </c>
      <c r="C71" s="69">
        <v>3</v>
      </c>
      <c r="D71" s="69">
        <v>22</v>
      </c>
      <c r="E71" s="69">
        <v>0</v>
      </c>
      <c r="F71" s="69">
        <v>0</v>
      </c>
      <c r="G71" s="69">
        <v>256.95</v>
      </c>
      <c r="H71">
        <f t="shared" si="1"/>
        <v>2.5694999999999997</v>
      </c>
    </row>
    <row r="72" spans="1:8" x14ac:dyDescent="0.2">
      <c r="A72" s="69">
        <v>2018</v>
      </c>
      <c r="B72" s="69">
        <v>4</v>
      </c>
      <c r="C72" s="69">
        <v>3</v>
      </c>
      <c r="D72">
        <v>23</v>
      </c>
      <c r="E72" s="69">
        <v>0</v>
      </c>
      <c r="F72" s="69">
        <v>0</v>
      </c>
      <c r="G72" s="69">
        <v>263.57499999999999</v>
      </c>
      <c r="H72">
        <f t="shared" si="1"/>
        <v>2.6357499999999998</v>
      </c>
    </row>
    <row r="73" spans="1:8" x14ac:dyDescent="0.2">
      <c r="A73" s="69">
        <v>2018</v>
      </c>
      <c r="B73" s="69">
        <v>4</v>
      </c>
      <c r="C73" s="69">
        <v>4</v>
      </c>
      <c r="D73" s="69">
        <v>0</v>
      </c>
      <c r="E73" s="69">
        <v>0</v>
      </c>
      <c r="F73" s="69">
        <v>0</v>
      </c>
      <c r="G73" s="69">
        <v>266.74999999999989</v>
      </c>
      <c r="H73">
        <f t="shared" si="1"/>
        <v>2.6674999999999986</v>
      </c>
    </row>
    <row r="74" spans="1:8" x14ac:dyDescent="0.2">
      <c r="A74" s="69">
        <v>2018</v>
      </c>
      <c r="B74" s="69">
        <v>4</v>
      </c>
      <c r="C74" s="69">
        <v>4</v>
      </c>
      <c r="D74">
        <v>1</v>
      </c>
      <c r="E74" s="69">
        <v>0</v>
      </c>
      <c r="F74" s="69">
        <v>0</v>
      </c>
      <c r="G74" s="69">
        <v>267.25</v>
      </c>
      <c r="H74">
        <f t="shared" si="1"/>
        <v>2.6724999999999999</v>
      </c>
    </row>
    <row r="75" spans="1:8" x14ac:dyDescent="0.2">
      <c r="A75" s="69">
        <v>2018</v>
      </c>
      <c r="B75" s="69">
        <v>4</v>
      </c>
      <c r="C75" s="69">
        <v>4</v>
      </c>
      <c r="D75" s="69">
        <v>2</v>
      </c>
      <c r="E75" s="69">
        <v>0</v>
      </c>
      <c r="F75" s="69">
        <v>0</v>
      </c>
      <c r="G75" s="69">
        <v>267.82499999999999</v>
      </c>
      <c r="H75">
        <f t="shared" si="1"/>
        <v>2.6782499999999998</v>
      </c>
    </row>
    <row r="76" spans="1:8" x14ac:dyDescent="0.2">
      <c r="A76" s="69">
        <v>2018</v>
      </c>
      <c r="B76" s="69">
        <v>4</v>
      </c>
      <c r="C76" s="69">
        <v>4</v>
      </c>
      <c r="D76">
        <v>3</v>
      </c>
      <c r="E76" s="69">
        <v>0</v>
      </c>
      <c r="F76" s="69">
        <v>0</v>
      </c>
      <c r="G76" s="69">
        <v>268.42500000000001</v>
      </c>
      <c r="H76">
        <f t="shared" si="1"/>
        <v>2.68425</v>
      </c>
    </row>
    <row r="77" spans="1:8" x14ac:dyDescent="0.2">
      <c r="A77" s="69">
        <v>2018</v>
      </c>
      <c r="B77" s="69">
        <v>4</v>
      </c>
      <c r="C77" s="69">
        <v>4</v>
      </c>
      <c r="D77" s="69">
        <v>4</v>
      </c>
      <c r="E77" s="69">
        <v>0</v>
      </c>
      <c r="F77" s="69">
        <v>0</v>
      </c>
      <c r="G77" s="69">
        <v>260.35000000000002</v>
      </c>
      <c r="H77">
        <f t="shared" si="1"/>
        <v>2.6035000000000004</v>
      </c>
    </row>
    <row r="78" spans="1:8" x14ac:dyDescent="0.2">
      <c r="A78" s="69">
        <v>2018</v>
      </c>
      <c r="B78" s="69">
        <v>4</v>
      </c>
      <c r="C78" s="69">
        <v>4</v>
      </c>
      <c r="D78">
        <v>5</v>
      </c>
      <c r="E78" s="69">
        <v>0</v>
      </c>
      <c r="F78" s="69">
        <v>0</v>
      </c>
      <c r="G78" s="69">
        <v>251.4</v>
      </c>
      <c r="H78">
        <f t="shared" si="1"/>
        <v>2.5140000000000002</v>
      </c>
    </row>
    <row r="79" spans="1:8" x14ac:dyDescent="0.2">
      <c r="A79" s="69">
        <v>2018</v>
      </c>
      <c r="B79" s="69">
        <v>4</v>
      </c>
      <c r="C79" s="69">
        <v>4</v>
      </c>
      <c r="D79" s="69">
        <v>6</v>
      </c>
      <c r="E79" s="69">
        <v>0</v>
      </c>
      <c r="F79" s="69">
        <v>0</v>
      </c>
      <c r="G79" s="69">
        <v>240.07499999999999</v>
      </c>
      <c r="H79">
        <f t="shared" si="1"/>
        <v>2.4007499999999999</v>
      </c>
    </row>
    <row r="80" spans="1:8" x14ac:dyDescent="0.2">
      <c r="A80" s="69">
        <v>2018</v>
      </c>
      <c r="B80" s="69">
        <v>4</v>
      </c>
      <c r="C80" s="69">
        <v>4</v>
      </c>
      <c r="D80">
        <v>7</v>
      </c>
      <c r="E80" s="69">
        <v>0</v>
      </c>
      <c r="F80" s="69">
        <v>0</v>
      </c>
      <c r="G80" s="69">
        <v>228.4</v>
      </c>
      <c r="H80">
        <f t="shared" si="1"/>
        <v>2.2840000000000003</v>
      </c>
    </row>
    <row r="81" spans="1:8" x14ac:dyDescent="0.2">
      <c r="A81" s="69">
        <v>2018</v>
      </c>
      <c r="B81" s="69">
        <v>4</v>
      </c>
      <c r="C81" s="69">
        <v>4</v>
      </c>
      <c r="D81" s="69">
        <v>8</v>
      </c>
      <c r="E81" s="69">
        <v>0</v>
      </c>
      <c r="F81" s="69">
        <v>0</v>
      </c>
      <c r="G81" s="69">
        <v>223.77500000000001</v>
      </c>
      <c r="H81">
        <f t="shared" si="1"/>
        <v>2.2377500000000001</v>
      </c>
    </row>
    <row r="82" spans="1:8" x14ac:dyDescent="0.2">
      <c r="A82" s="69">
        <v>2018</v>
      </c>
      <c r="B82" s="69">
        <v>4</v>
      </c>
      <c r="C82" s="69">
        <v>4</v>
      </c>
      <c r="D82">
        <v>9</v>
      </c>
      <c r="E82" s="69">
        <v>0</v>
      </c>
      <c r="F82" s="69">
        <v>0</v>
      </c>
      <c r="G82" s="69">
        <v>223.67500000000001</v>
      </c>
      <c r="H82">
        <f t="shared" si="1"/>
        <v>2.2367500000000002</v>
      </c>
    </row>
    <row r="83" spans="1:8" x14ac:dyDescent="0.2">
      <c r="A83" s="69">
        <v>2018</v>
      </c>
      <c r="B83" s="69">
        <v>4</v>
      </c>
      <c r="C83" s="69">
        <v>4</v>
      </c>
      <c r="D83" s="69">
        <v>10</v>
      </c>
      <c r="E83" s="69">
        <v>0</v>
      </c>
      <c r="F83" s="69">
        <v>0</v>
      </c>
      <c r="G83" s="69">
        <v>223.95</v>
      </c>
      <c r="H83">
        <f t="shared" si="1"/>
        <v>2.2395</v>
      </c>
    </row>
    <row r="84" spans="1:8" x14ac:dyDescent="0.2">
      <c r="A84" s="69">
        <v>2018</v>
      </c>
      <c r="B84" s="69">
        <v>4</v>
      </c>
      <c r="C84" s="69">
        <v>4</v>
      </c>
      <c r="D84">
        <v>11</v>
      </c>
      <c r="E84" s="69">
        <v>0</v>
      </c>
      <c r="F84" s="69">
        <v>0</v>
      </c>
      <c r="G84" s="69">
        <v>231.42500000000001</v>
      </c>
      <c r="H84">
        <f t="shared" si="1"/>
        <v>2.3142499999999999</v>
      </c>
    </row>
    <row r="85" spans="1:8" x14ac:dyDescent="0.2">
      <c r="A85" s="69">
        <v>2018</v>
      </c>
      <c r="B85" s="69">
        <v>4</v>
      </c>
      <c r="C85" s="69">
        <v>4</v>
      </c>
      <c r="D85" s="69">
        <v>12</v>
      </c>
      <c r="E85" s="69">
        <v>0</v>
      </c>
      <c r="F85" s="69">
        <v>0</v>
      </c>
      <c r="G85" s="69">
        <v>239.25</v>
      </c>
      <c r="H85">
        <f t="shared" si="1"/>
        <v>2.3925000000000001</v>
      </c>
    </row>
    <row r="86" spans="1:8" x14ac:dyDescent="0.2">
      <c r="A86" s="69">
        <v>2018</v>
      </c>
      <c r="B86" s="69">
        <v>4</v>
      </c>
      <c r="C86" s="69">
        <v>4</v>
      </c>
      <c r="D86">
        <v>13</v>
      </c>
      <c r="E86" s="69">
        <v>0</v>
      </c>
      <c r="F86" s="69">
        <v>0</v>
      </c>
      <c r="G86" s="69">
        <v>249.42500000000001</v>
      </c>
      <c r="H86">
        <f t="shared" si="1"/>
        <v>2.4942500000000001</v>
      </c>
    </row>
    <row r="87" spans="1:8" x14ac:dyDescent="0.2">
      <c r="A87" s="69">
        <v>2018</v>
      </c>
      <c r="B87" s="69">
        <v>4</v>
      </c>
      <c r="C87" s="69">
        <v>4</v>
      </c>
      <c r="D87" s="69">
        <v>14</v>
      </c>
      <c r="E87" s="69">
        <v>0</v>
      </c>
      <c r="F87" s="69">
        <v>0</v>
      </c>
      <c r="G87" s="69">
        <v>258.92500000000001</v>
      </c>
      <c r="H87">
        <f t="shared" si="1"/>
        <v>2.5892500000000003</v>
      </c>
    </row>
    <row r="88" spans="1:8" x14ac:dyDescent="0.2">
      <c r="A88" s="69">
        <v>2018</v>
      </c>
      <c r="B88" s="69">
        <v>4</v>
      </c>
      <c r="C88" s="69">
        <v>4</v>
      </c>
      <c r="D88">
        <v>15</v>
      </c>
      <c r="E88" s="69">
        <v>0</v>
      </c>
      <c r="F88" s="69">
        <v>0</v>
      </c>
      <c r="G88" s="69">
        <v>264.39999999999998</v>
      </c>
      <c r="H88">
        <f t="shared" si="1"/>
        <v>2.6439999999999997</v>
      </c>
    </row>
    <row r="89" spans="1:8" x14ac:dyDescent="0.2">
      <c r="A89" s="69">
        <v>2018</v>
      </c>
      <c r="B89" s="69">
        <v>4</v>
      </c>
      <c r="C89" s="69">
        <v>4</v>
      </c>
      <c r="D89" s="69">
        <v>16</v>
      </c>
      <c r="E89" s="69">
        <v>0</v>
      </c>
      <c r="F89" s="69">
        <v>0</v>
      </c>
      <c r="G89" s="69">
        <v>268.5</v>
      </c>
      <c r="H89">
        <f t="shared" si="1"/>
        <v>2.6850000000000001</v>
      </c>
    </row>
    <row r="90" spans="1:8" x14ac:dyDescent="0.2">
      <c r="A90" s="69">
        <v>2018</v>
      </c>
      <c r="B90" s="69">
        <v>4</v>
      </c>
      <c r="C90" s="69">
        <v>4</v>
      </c>
      <c r="D90">
        <v>17</v>
      </c>
      <c r="E90" s="69">
        <v>0</v>
      </c>
      <c r="F90" s="69">
        <v>0</v>
      </c>
      <c r="G90" s="69">
        <v>268.17500000000001</v>
      </c>
      <c r="H90">
        <f t="shared" si="1"/>
        <v>2.6817500000000001</v>
      </c>
    </row>
    <row r="91" spans="1:8" x14ac:dyDescent="0.2">
      <c r="A91" s="69">
        <v>2018</v>
      </c>
      <c r="B91" s="69">
        <v>4</v>
      </c>
      <c r="C91" s="69">
        <v>4</v>
      </c>
      <c r="D91" s="69">
        <v>18</v>
      </c>
      <c r="E91" s="69">
        <v>0</v>
      </c>
      <c r="F91" s="69">
        <v>0</v>
      </c>
      <c r="G91" s="69">
        <v>266.375</v>
      </c>
      <c r="H91">
        <f t="shared" si="1"/>
        <v>2.6637499999999998</v>
      </c>
    </row>
    <row r="92" spans="1:8" x14ac:dyDescent="0.2">
      <c r="A92" s="69">
        <v>2018</v>
      </c>
      <c r="B92" s="69">
        <v>4</v>
      </c>
      <c r="C92" s="69">
        <v>4</v>
      </c>
      <c r="D92">
        <v>19</v>
      </c>
      <c r="E92" s="69">
        <v>0</v>
      </c>
      <c r="F92" s="69">
        <v>0</v>
      </c>
      <c r="G92" s="69">
        <v>259.32499999999999</v>
      </c>
      <c r="H92">
        <f t="shared" si="1"/>
        <v>2.5932499999999998</v>
      </c>
    </row>
    <row r="93" spans="1:8" x14ac:dyDescent="0.2">
      <c r="A93" s="69">
        <v>2018</v>
      </c>
      <c r="B93" s="69">
        <v>4</v>
      </c>
      <c r="C93" s="69">
        <v>4</v>
      </c>
      <c r="D93" s="69">
        <v>20</v>
      </c>
      <c r="E93" s="69">
        <v>0</v>
      </c>
      <c r="F93" s="69">
        <v>0</v>
      </c>
      <c r="G93" s="69">
        <v>254.375</v>
      </c>
      <c r="H93">
        <f t="shared" si="1"/>
        <v>2.5437500000000002</v>
      </c>
    </row>
    <row r="94" spans="1:8" x14ac:dyDescent="0.2">
      <c r="A94" s="69">
        <v>2018</v>
      </c>
      <c r="B94" s="69">
        <v>4</v>
      </c>
      <c r="C94" s="69">
        <v>4</v>
      </c>
      <c r="D94">
        <v>21</v>
      </c>
      <c r="E94" s="69">
        <v>0</v>
      </c>
      <c r="F94" s="69">
        <v>0</v>
      </c>
      <c r="G94" s="69">
        <v>253.32499999999999</v>
      </c>
      <c r="H94">
        <f t="shared" si="1"/>
        <v>2.5332499999999998</v>
      </c>
    </row>
    <row r="95" spans="1:8" x14ac:dyDescent="0.2">
      <c r="A95" s="69">
        <v>2018</v>
      </c>
      <c r="B95" s="69">
        <v>4</v>
      </c>
      <c r="C95" s="69">
        <v>4</v>
      </c>
      <c r="D95" s="69">
        <v>22</v>
      </c>
      <c r="E95" s="69">
        <v>0</v>
      </c>
      <c r="F95" s="69">
        <v>0</v>
      </c>
      <c r="G95" s="69">
        <v>254.89999999999989</v>
      </c>
      <c r="H95">
        <f t="shared" si="1"/>
        <v>2.548999999999999</v>
      </c>
    </row>
    <row r="96" spans="1:8" x14ac:dyDescent="0.2">
      <c r="A96" s="69">
        <v>2018</v>
      </c>
      <c r="B96" s="69">
        <v>4</v>
      </c>
      <c r="C96" s="69">
        <v>4</v>
      </c>
      <c r="D96">
        <v>23</v>
      </c>
      <c r="E96" s="69">
        <v>0</v>
      </c>
      <c r="F96" s="69">
        <v>0</v>
      </c>
      <c r="G96" s="69">
        <v>257.74999999999989</v>
      </c>
      <c r="H96">
        <f t="shared" si="1"/>
        <v>2.5774999999999988</v>
      </c>
    </row>
    <row r="97" spans="1:8" x14ac:dyDescent="0.2">
      <c r="A97" s="69">
        <v>2018</v>
      </c>
      <c r="B97" s="69">
        <v>4</v>
      </c>
      <c r="C97" s="69">
        <v>5</v>
      </c>
      <c r="D97" s="69">
        <v>0</v>
      </c>
      <c r="E97" s="69">
        <v>0</v>
      </c>
      <c r="F97" s="69">
        <v>0</v>
      </c>
      <c r="G97" s="69">
        <v>263.3</v>
      </c>
      <c r="H97">
        <f t="shared" si="1"/>
        <v>2.633</v>
      </c>
    </row>
    <row r="98" spans="1:8" x14ac:dyDescent="0.2">
      <c r="A98" s="69">
        <v>2018</v>
      </c>
      <c r="B98" s="69">
        <v>4</v>
      </c>
      <c r="C98" s="69">
        <v>5</v>
      </c>
      <c r="D98">
        <v>1</v>
      </c>
      <c r="E98" s="69">
        <v>0</v>
      </c>
      <c r="F98" s="69">
        <v>0</v>
      </c>
      <c r="G98" s="69">
        <v>266.47500000000002</v>
      </c>
      <c r="H98">
        <f t="shared" si="1"/>
        <v>2.6647500000000002</v>
      </c>
    </row>
    <row r="99" spans="1:8" x14ac:dyDescent="0.2">
      <c r="A99" s="69">
        <v>2018</v>
      </c>
      <c r="B99" s="69">
        <v>4</v>
      </c>
      <c r="C99" s="69">
        <v>5</v>
      </c>
      <c r="D99" s="69">
        <v>2</v>
      </c>
      <c r="E99" s="69">
        <v>0</v>
      </c>
      <c r="F99" s="69">
        <v>0</v>
      </c>
      <c r="G99" s="69">
        <v>270.17500000000001</v>
      </c>
      <c r="H99">
        <f t="shared" si="1"/>
        <v>2.7017500000000001</v>
      </c>
    </row>
    <row r="100" spans="1:8" x14ac:dyDescent="0.2">
      <c r="A100" s="69">
        <v>2018</v>
      </c>
      <c r="B100" s="69">
        <v>4</v>
      </c>
      <c r="C100" s="69">
        <v>5</v>
      </c>
      <c r="D100">
        <v>3</v>
      </c>
      <c r="E100" s="69">
        <v>0</v>
      </c>
      <c r="F100" s="69">
        <v>0</v>
      </c>
      <c r="G100" s="69">
        <v>275.17500000000001</v>
      </c>
      <c r="H100">
        <f t="shared" si="1"/>
        <v>2.7517499999999999</v>
      </c>
    </row>
    <row r="101" spans="1:8" x14ac:dyDescent="0.2">
      <c r="A101" s="69">
        <v>2018</v>
      </c>
      <c r="B101" s="69">
        <v>4</v>
      </c>
      <c r="C101" s="69">
        <v>5</v>
      </c>
      <c r="D101" s="69">
        <v>4</v>
      </c>
      <c r="E101" s="69">
        <v>0</v>
      </c>
      <c r="F101" s="69">
        <v>0</v>
      </c>
      <c r="G101" s="69">
        <v>272.27499999999998</v>
      </c>
      <c r="H101">
        <f t="shared" si="1"/>
        <v>2.7227499999999996</v>
      </c>
    </row>
    <row r="102" spans="1:8" x14ac:dyDescent="0.2">
      <c r="A102" s="69">
        <v>2018</v>
      </c>
      <c r="B102" s="69">
        <v>4</v>
      </c>
      <c r="C102" s="69">
        <v>5</v>
      </c>
      <c r="D102">
        <v>5</v>
      </c>
      <c r="E102" s="69">
        <v>0</v>
      </c>
      <c r="F102" s="69">
        <v>0</v>
      </c>
      <c r="G102" s="69">
        <v>264.49999999999989</v>
      </c>
      <c r="H102">
        <f t="shared" si="1"/>
        <v>2.6449999999999987</v>
      </c>
    </row>
    <row r="103" spans="1:8" x14ac:dyDescent="0.2">
      <c r="A103" s="69">
        <v>2018</v>
      </c>
      <c r="B103" s="69">
        <v>4</v>
      </c>
      <c r="C103" s="69">
        <v>5</v>
      </c>
      <c r="D103" s="69">
        <v>6</v>
      </c>
      <c r="E103" s="69">
        <v>0</v>
      </c>
      <c r="F103" s="69">
        <v>0</v>
      </c>
      <c r="G103" s="69">
        <v>253.35</v>
      </c>
      <c r="H103">
        <f t="shared" si="1"/>
        <v>2.5335000000000001</v>
      </c>
    </row>
    <row r="104" spans="1:8" x14ac:dyDescent="0.2">
      <c r="A104" s="69">
        <v>2018</v>
      </c>
      <c r="B104" s="69">
        <v>4</v>
      </c>
      <c r="C104" s="69">
        <v>5</v>
      </c>
      <c r="D104">
        <v>7</v>
      </c>
      <c r="E104" s="69">
        <v>0</v>
      </c>
      <c r="F104" s="69">
        <v>0</v>
      </c>
      <c r="G104" s="69">
        <v>241.97499999999999</v>
      </c>
      <c r="H104">
        <f t="shared" si="1"/>
        <v>2.4197500000000001</v>
      </c>
    </row>
    <row r="105" spans="1:8" x14ac:dyDescent="0.2">
      <c r="A105" s="69">
        <v>2018</v>
      </c>
      <c r="B105" s="69">
        <v>4</v>
      </c>
      <c r="C105" s="69">
        <v>5</v>
      </c>
      <c r="D105" s="69">
        <v>8</v>
      </c>
      <c r="E105" s="69">
        <v>0</v>
      </c>
      <c r="F105" s="69">
        <v>0</v>
      </c>
      <c r="G105" s="69">
        <v>232.97499999999999</v>
      </c>
      <c r="H105">
        <f t="shared" si="1"/>
        <v>2.3297499999999998</v>
      </c>
    </row>
    <row r="106" spans="1:8" x14ac:dyDescent="0.2">
      <c r="A106" s="69">
        <v>2018</v>
      </c>
      <c r="B106" s="69">
        <v>4</v>
      </c>
      <c r="C106" s="69">
        <v>5</v>
      </c>
      <c r="D106">
        <v>9</v>
      </c>
      <c r="E106" s="69">
        <v>0</v>
      </c>
      <c r="F106" s="69">
        <v>0</v>
      </c>
      <c r="G106" s="69">
        <v>226.95</v>
      </c>
      <c r="H106">
        <f t="shared" si="1"/>
        <v>2.2694999999999999</v>
      </c>
    </row>
    <row r="107" spans="1:8" x14ac:dyDescent="0.2">
      <c r="A107" s="69">
        <v>2018</v>
      </c>
      <c r="B107" s="69">
        <v>4</v>
      </c>
      <c r="C107" s="69">
        <v>5</v>
      </c>
      <c r="D107" s="69">
        <v>10</v>
      </c>
      <c r="E107" s="69">
        <v>0</v>
      </c>
      <c r="F107" s="69">
        <v>0</v>
      </c>
      <c r="G107" s="69">
        <v>227.17500000000001</v>
      </c>
      <c r="H107">
        <f t="shared" si="1"/>
        <v>2.2717499999999999</v>
      </c>
    </row>
    <row r="108" spans="1:8" x14ac:dyDescent="0.2">
      <c r="A108" s="69">
        <v>2018</v>
      </c>
      <c r="B108" s="69">
        <v>4</v>
      </c>
      <c r="C108" s="69">
        <v>5</v>
      </c>
      <c r="D108">
        <v>11</v>
      </c>
      <c r="E108" s="69">
        <v>0</v>
      </c>
      <c r="F108" s="69">
        <v>0</v>
      </c>
      <c r="G108" s="69">
        <v>229.125</v>
      </c>
      <c r="H108">
        <f t="shared" si="1"/>
        <v>2.2912499999999998</v>
      </c>
    </row>
    <row r="109" spans="1:8" x14ac:dyDescent="0.2">
      <c r="A109" s="69">
        <v>2018</v>
      </c>
      <c r="B109" s="69">
        <v>4</v>
      </c>
      <c r="C109" s="69">
        <v>5</v>
      </c>
      <c r="D109" s="69">
        <v>12</v>
      </c>
      <c r="E109" s="69">
        <v>0</v>
      </c>
      <c r="F109" s="69">
        <v>0</v>
      </c>
      <c r="G109" s="69">
        <v>239.65</v>
      </c>
      <c r="H109">
        <f t="shared" si="1"/>
        <v>2.3965000000000001</v>
      </c>
    </row>
    <row r="110" spans="1:8" x14ac:dyDescent="0.2">
      <c r="A110" s="69">
        <v>2018</v>
      </c>
      <c r="B110" s="69">
        <v>4</v>
      </c>
      <c r="C110" s="69">
        <v>5</v>
      </c>
      <c r="D110">
        <v>13</v>
      </c>
      <c r="E110" s="69">
        <v>0</v>
      </c>
      <c r="F110" s="69">
        <v>0</v>
      </c>
      <c r="G110" s="69">
        <v>251.65</v>
      </c>
      <c r="H110">
        <f t="shared" si="1"/>
        <v>2.5165000000000002</v>
      </c>
    </row>
    <row r="111" spans="1:8" x14ac:dyDescent="0.2">
      <c r="A111" s="69">
        <v>2018</v>
      </c>
      <c r="B111" s="69">
        <v>4</v>
      </c>
      <c r="C111" s="69">
        <v>5</v>
      </c>
      <c r="D111" s="69">
        <v>14</v>
      </c>
      <c r="E111" s="69">
        <v>0</v>
      </c>
      <c r="F111" s="69">
        <v>0</v>
      </c>
      <c r="G111" s="69">
        <v>263.25</v>
      </c>
      <c r="H111">
        <f t="shared" si="1"/>
        <v>2.6324999999999998</v>
      </c>
    </row>
    <row r="112" spans="1:8" x14ac:dyDescent="0.2">
      <c r="A112" s="69">
        <v>2018</v>
      </c>
      <c r="B112" s="69">
        <v>4</v>
      </c>
      <c r="C112" s="69">
        <v>5</v>
      </c>
      <c r="D112">
        <v>15</v>
      </c>
      <c r="E112" s="69">
        <v>0</v>
      </c>
      <c r="F112" s="69">
        <v>0</v>
      </c>
      <c r="G112" s="69">
        <v>270.64999999999998</v>
      </c>
      <c r="H112">
        <f t="shared" si="1"/>
        <v>2.7064999999999997</v>
      </c>
    </row>
    <row r="113" spans="1:8" x14ac:dyDescent="0.2">
      <c r="A113" s="69">
        <v>2018</v>
      </c>
      <c r="B113" s="69">
        <v>4</v>
      </c>
      <c r="C113" s="69">
        <v>5</v>
      </c>
      <c r="D113" s="69">
        <v>16</v>
      </c>
      <c r="E113" s="69">
        <v>0</v>
      </c>
      <c r="F113" s="69">
        <v>0</v>
      </c>
      <c r="G113" s="69">
        <v>275.5</v>
      </c>
      <c r="H113">
        <f t="shared" si="1"/>
        <v>2.7549999999999999</v>
      </c>
    </row>
    <row r="114" spans="1:8" x14ac:dyDescent="0.2">
      <c r="A114" s="69">
        <v>2018</v>
      </c>
      <c r="B114" s="69">
        <v>4</v>
      </c>
      <c r="C114" s="69">
        <v>5</v>
      </c>
      <c r="D114">
        <v>17</v>
      </c>
      <c r="E114" s="69">
        <v>0</v>
      </c>
      <c r="F114" s="69">
        <v>0</v>
      </c>
      <c r="G114" s="69">
        <v>273.2</v>
      </c>
      <c r="H114">
        <f t="shared" si="1"/>
        <v>2.7319999999999998</v>
      </c>
    </row>
    <row r="115" spans="1:8" x14ac:dyDescent="0.2">
      <c r="A115" s="69">
        <v>2018</v>
      </c>
      <c r="B115" s="69">
        <v>4</v>
      </c>
      <c r="C115" s="69">
        <v>5</v>
      </c>
      <c r="D115" s="69">
        <v>18</v>
      </c>
      <c r="E115" s="69">
        <v>0</v>
      </c>
      <c r="F115" s="69">
        <v>0</v>
      </c>
      <c r="G115" s="69">
        <v>266.64999999999998</v>
      </c>
      <c r="H115">
        <f t="shared" si="1"/>
        <v>2.6664999999999996</v>
      </c>
    </row>
    <row r="116" spans="1:8" x14ac:dyDescent="0.2">
      <c r="A116" s="69">
        <v>2018</v>
      </c>
      <c r="B116" s="69">
        <v>4</v>
      </c>
      <c r="C116" s="69">
        <v>5</v>
      </c>
      <c r="D116">
        <v>19</v>
      </c>
      <c r="E116" s="69">
        <v>0</v>
      </c>
      <c r="F116" s="69">
        <v>0</v>
      </c>
      <c r="G116" s="69">
        <v>259.64999999999998</v>
      </c>
      <c r="H116">
        <f t="shared" si="1"/>
        <v>2.5964999999999998</v>
      </c>
    </row>
    <row r="117" spans="1:8" x14ac:dyDescent="0.2">
      <c r="A117" s="69">
        <v>2018</v>
      </c>
      <c r="B117" s="69">
        <v>4</v>
      </c>
      <c r="C117" s="69">
        <v>5</v>
      </c>
      <c r="D117" s="69">
        <v>20</v>
      </c>
      <c r="E117" s="69">
        <v>0</v>
      </c>
      <c r="F117" s="69">
        <v>0</v>
      </c>
      <c r="G117" s="69">
        <v>253.22499999999999</v>
      </c>
      <c r="H117">
        <f t="shared" si="1"/>
        <v>2.5322499999999999</v>
      </c>
    </row>
    <row r="118" spans="1:8" x14ac:dyDescent="0.2">
      <c r="A118" s="69">
        <v>2018</v>
      </c>
      <c r="B118" s="69">
        <v>4</v>
      </c>
      <c r="C118" s="69">
        <v>5</v>
      </c>
      <c r="D118">
        <v>21</v>
      </c>
      <c r="E118" s="69">
        <v>0</v>
      </c>
      <c r="F118" s="69">
        <v>0</v>
      </c>
      <c r="G118" s="69">
        <v>249.625</v>
      </c>
      <c r="H118">
        <f t="shared" si="1"/>
        <v>2.4962499999999999</v>
      </c>
    </row>
    <row r="119" spans="1:8" x14ac:dyDescent="0.2">
      <c r="A119" s="69">
        <v>2018</v>
      </c>
      <c r="B119" s="69">
        <v>4</v>
      </c>
      <c r="C119" s="69">
        <v>5</v>
      </c>
      <c r="D119" s="69">
        <v>22</v>
      </c>
      <c r="E119" s="69">
        <v>0</v>
      </c>
      <c r="F119" s="69">
        <v>0</v>
      </c>
      <c r="G119" s="69">
        <v>252.4</v>
      </c>
      <c r="H119">
        <f t="shared" si="1"/>
        <v>2.524</v>
      </c>
    </row>
    <row r="120" spans="1:8" x14ac:dyDescent="0.2">
      <c r="A120" s="69">
        <v>2018</v>
      </c>
      <c r="B120" s="69">
        <v>4</v>
      </c>
      <c r="C120" s="69">
        <v>5</v>
      </c>
      <c r="D120">
        <v>23</v>
      </c>
      <c r="E120" s="69">
        <v>0</v>
      </c>
      <c r="F120" s="69">
        <v>0</v>
      </c>
      <c r="G120" s="69">
        <v>252.875</v>
      </c>
      <c r="H120">
        <f t="shared" si="1"/>
        <v>2.5287500000000001</v>
      </c>
    </row>
    <row r="121" spans="1:8" x14ac:dyDescent="0.2">
      <c r="A121" s="69">
        <v>2018</v>
      </c>
      <c r="B121" s="69">
        <v>4</v>
      </c>
      <c r="C121" s="69">
        <v>6</v>
      </c>
      <c r="D121" s="69">
        <v>0</v>
      </c>
      <c r="E121" s="69">
        <v>0</v>
      </c>
      <c r="F121" s="69">
        <v>0</v>
      </c>
      <c r="G121" s="69">
        <v>259.32499999999999</v>
      </c>
      <c r="H121">
        <f t="shared" si="1"/>
        <v>2.5932499999999998</v>
      </c>
    </row>
    <row r="122" spans="1:8" x14ac:dyDescent="0.2">
      <c r="A122" s="69">
        <v>2018</v>
      </c>
      <c r="B122" s="69">
        <v>4</v>
      </c>
      <c r="C122" s="69">
        <v>6</v>
      </c>
      <c r="D122">
        <v>1</v>
      </c>
      <c r="E122" s="69">
        <v>0</v>
      </c>
      <c r="F122" s="69">
        <v>0</v>
      </c>
      <c r="G122" s="69">
        <v>266.10000000000002</v>
      </c>
      <c r="H122">
        <f t="shared" si="1"/>
        <v>2.661</v>
      </c>
    </row>
    <row r="123" spans="1:8" x14ac:dyDescent="0.2">
      <c r="A123" s="69">
        <v>2018</v>
      </c>
      <c r="B123" s="69">
        <v>4</v>
      </c>
      <c r="C123" s="69">
        <v>6</v>
      </c>
      <c r="D123" s="69">
        <v>2</v>
      </c>
      <c r="E123" s="69">
        <v>0</v>
      </c>
      <c r="F123" s="69">
        <v>0</v>
      </c>
      <c r="G123" s="69">
        <v>276.72500000000002</v>
      </c>
      <c r="H123">
        <f t="shared" si="1"/>
        <v>2.7672500000000002</v>
      </c>
    </row>
    <row r="124" spans="1:8" x14ac:dyDescent="0.2">
      <c r="A124" s="69">
        <v>2018</v>
      </c>
      <c r="B124" s="69">
        <v>4</v>
      </c>
      <c r="C124" s="69">
        <v>6</v>
      </c>
      <c r="D124">
        <v>3</v>
      </c>
      <c r="E124" s="69">
        <v>0</v>
      </c>
      <c r="F124" s="69">
        <v>0</v>
      </c>
      <c r="G124" s="69">
        <v>283.5</v>
      </c>
      <c r="H124">
        <f t="shared" si="1"/>
        <v>2.835</v>
      </c>
    </row>
    <row r="125" spans="1:8" x14ac:dyDescent="0.2">
      <c r="A125" s="69">
        <v>2018</v>
      </c>
      <c r="B125" s="69">
        <v>4</v>
      </c>
      <c r="C125" s="69">
        <v>6</v>
      </c>
      <c r="D125" s="69">
        <v>4</v>
      </c>
      <c r="E125" s="69">
        <v>0</v>
      </c>
      <c r="F125" s="69">
        <v>0</v>
      </c>
      <c r="G125" s="69">
        <v>285.82499999999999</v>
      </c>
      <c r="H125">
        <f t="shared" si="1"/>
        <v>2.85825</v>
      </c>
    </row>
    <row r="126" spans="1:8" x14ac:dyDescent="0.2">
      <c r="A126" s="69">
        <v>2018</v>
      </c>
      <c r="B126" s="69">
        <v>4</v>
      </c>
      <c r="C126" s="69">
        <v>6</v>
      </c>
      <c r="D126">
        <v>5</v>
      </c>
      <c r="E126" s="69">
        <v>0</v>
      </c>
      <c r="F126" s="69">
        <v>0</v>
      </c>
      <c r="G126" s="69">
        <v>278.27499999999998</v>
      </c>
      <c r="H126">
        <f t="shared" si="1"/>
        <v>2.7827499999999996</v>
      </c>
    </row>
    <row r="127" spans="1:8" x14ac:dyDescent="0.2">
      <c r="A127" s="69">
        <v>2018</v>
      </c>
      <c r="B127" s="69">
        <v>4</v>
      </c>
      <c r="C127" s="69">
        <v>6</v>
      </c>
      <c r="D127" s="69">
        <v>6</v>
      </c>
      <c r="E127" s="69">
        <v>0</v>
      </c>
      <c r="F127" s="69">
        <v>0</v>
      </c>
      <c r="G127" s="69">
        <v>263.47500000000002</v>
      </c>
      <c r="H127">
        <f t="shared" si="1"/>
        <v>2.6347500000000004</v>
      </c>
    </row>
    <row r="128" spans="1:8" x14ac:dyDescent="0.2">
      <c r="A128" s="69">
        <v>2018</v>
      </c>
      <c r="B128" s="69">
        <v>4</v>
      </c>
      <c r="C128" s="69">
        <v>6</v>
      </c>
      <c r="D128">
        <v>7</v>
      </c>
      <c r="E128" s="69">
        <v>0</v>
      </c>
      <c r="F128" s="69">
        <v>0</v>
      </c>
      <c r="G128" s="69">
        <v>251.27500000000001</v>
      </c>
      <c r="H128">
        <f t="shared" si="1"/>
        <v>2.51275</v>
      </c>
    </row>
    <row r="129" spans="1:8" x14ac:dyDescent="0.2">
      <c r="A129" s="69">
        <v>2018</v>
      </c>
      <c r="B129" s="69">
        <v>4</v>
      </c>
      <c r="C129" s="69">
        <v>6</v>
      </c>
      <c r="D129" s="69">
        <v>8</v>
      </c>
      <c r="E129" s="69">
        <v>0</v>
      </c>
      <c r="F129" s="69">
        <v>0</v>
      </c>
      <c r="G129" s="69">
        <v>239.52500000000001</v>
      </c>
      <c r="H129">
        <f t="shared" ref="H129:H192" si="2">G129/100</f>
        <v>2.3952499999999999</v>
      </c>
    </row>
    <row r="130" spans="1:8" x14ac:dyDescent="0.2">
      <c r="A130" s="69">
        <v>2018</v>
      </c>
      <c r="B130" s="69">
        <v>4</v>
      </c>
      <c r="C130" s="69">
        <v>6</v>
      </c>
      <c r="D130">
        <v>9</v>
      </c>
      <c r="E130" s="69">
        <v>0</v>
      </c>
      <c r="F130" s="69">
        <v>0</v>
      </c>
      <c r="G130" s="69">
        <v>231.95</v>
      </c>
      <c r="H130">
        <f t="shared" si="2"/>
        <v>2.3194999999999997</v>
      </c>
    </row>
    <row r="131" spans="1:8" x14ac:dyDescent="0.2">
      <c r="A131" s="69">
        <v>2018</v>
      </c>
      <c r="B131" s="69">
        <v>4</v>
      </c>
      <c r="C131" s="69">
        <v>6</v>
      </c>
      <c r="D131" s="69">
        <v>10</v>
      </c>
      <c r="E131" s="69">
        <v>0</v>
      </c>
      <c r="F131" s="69">
        <v>0</v>
      </c>
      <c r="G131" s="69">
        <v>230.72499999999999</v>
      </c>
      <c r="H131">
        <f t="shared" si="2"/>
        <v>2.3072499999999998</v>
      </c>
    </row>
    <row r="132" spans="1:8" x14ac:dyDescent="0.2">
      <c r="A132" s="69">
        <v>2018</v>
      </c>
      <c r="B132" s="69">
        <v>4</v>
      </c>
      <c r="C132" s="69">
        <v>6</v>
      </c>
      <c r="D132">
        <v>11</v>
      </c>
      <c r="E132" s="69">
        <v>0</v>
      </c>
      <c r="F132" s="69">
        <v>0</v>
      </c>
      <c r="G132" s="69">
        <v>229.67500000000001</v>
      </c>
      <c r="H132">
        <f t="shared" si="2"/>
        <v>2.2967500000000003</v>
      </c>
    </row>
    <row r="133" spans="1:8" x14ac:dyDescent="0.2">
      <c r="A133" s="69">
        <v>2018</v>
      </c>
      <c r="B133" s="69">
        <v>4</v>
      </c>
      <c r="C133" s="69">
        <v>6</v>
      </c>
      <c r="D133" s="69">
        <v>12</v>
      </c>
      <c r="E133" s="69">
        <v>0</v>
      </c>
      <c r="F133" s="69">
        <v>0</v>
      </c>
      <c r="G133" s="69">
        <v>238.35</v>
      </c>
      <c r="H133">
        <f t="shared" si="2"/>
        <v>2.3834999999999997</v>
      </c>
    </row>
    <row r="134" spans="1:8" x14ac:dyDescent="0.2">
      <c r="A134" s="69">
        <v>2018</v>
      </c>
      <c r="B134" s="69">
        <v>4</v>
      </c>
      <c r="C134" s="69">
        <v>6</v>
      </c>
      <c r="D134">
        <v>13</v>
      </c>
      <c r="E134" s="69">
        <v>0</v>
      </c>
      <c r="F134" s="69">
        <v>0</v>
      </c>
      <c r="G134" s="69">
        <v>253.3</v>
      </c>
      <c r="H134">
        <f t="shared" si="2"/>
        <v>2.5329999999999999</v>
      </c>
    </row>
    <row r="135" spans="1:8" x14ac:dyDescent="0.2">
      <c r="A135" s="69">
        <v>2018</v>
      </c>
      <c r="B135" s="69">
        <v>4</v>
      </c>
      <c r="C135" s="69">
        <v>6</v>
      </c>
      <c r="D135" s="69">
        <v>14</v>
      </c>
      <c r="E135" s="69">
        <v>0</v>
      </c>
      <c r="F135" s="69">
        <v>0</v>
      </c>
      <c r="G135" s="69">
        <v>264.25</v>
      </c>
      <c r="H135">
        <f t="shared" si="2"/>
        <v>2.6425000000000001</v>
      </c>
    </row>
    <row r="136" spans="1:8" x14ac:dyDescent="0.2">
      <c r="A136" s="69">
        <v>2018</v>
      </c>
      <c r="B136" s="69">
        <v>4</v>
      </c>
      <c r="C136" s="69">
        <v>6</v>
      </c>
      <c r="D136">
        <v>15</v>
      </c>
      <c r="E136" s="69">
        <v>0</v>
      </c>
      <c r="F136" s="69">
        <v>0</v>
      </c>
      <c r="G136" s="69">
        <v>277.45</v>
      </c>
      <c r="H136">
        <f t="shared" si="2"/>
        <v>2.7744999999999997</v>
      </c>
    </row>
    <row r="137" spans="1:8" x14ac:dyDescent="0.2">
      <c r="A137" s="69">
        <v>2018</v>
      </c>
      <c r="B137" s="69">
        <v>4</v>
      </c>
      <c r="C137" s="69">
        <v>6</v>
      </c>
      <c r="D137" s="69">
        <v>16</v>
      </c>
      <c r="E137" s="69">
        <v>0</v>
      </c>
      <c r="F137" s="69">
        <v>0</v>
      </c>
      <c r="G137" s="69">
        <v>283.92500000000001</v>
      </c>
      <c r="H137">
        <f t="shared" si="2"/>
        <v>2.8392500000000003</v>
      </c>
    </row>
    <row r="138" spans="1:8" x14ac:dyDescent="0.2">
      <c r="A138" s="69">
        <v>2018</v>
      </c>
      <c r="B138" s="69">
        <v>4</v>
      </c>
      <c r="C138" s="69">
        <v>6</v>
      </c>
      <c r="D138">
        <v>17</v>
      </c>
      <c r="E138" s="69">
        <v>0</v>
      </c>
      <c r="F138" s="69">
        <v>0</v>
      </c>
      <c r="G138" s="69">
        <v>279.47500000000002</v>
      </c>
      <c r="H138">
        <f t="shared" si="2"/>
        <v>2.7947500000000001</v>
      </c>
    </row>
    <row r="139" spans="1:8" x14ac:dyDescent="0.2">
      <c r="A139" s="69">
        <v>2018</v>
      </c>
      <c r="B139" s="69">
        <v>4</v>
      </c>
      <c r="C139" s="69">
        <v>6</v>
      </c>
      <c r="D139" s="69">
        <v>18</v>
      </c>
      <c r="E139" s="69">
        <v>0</v>
      </c>
      <c r="F139" s="69">
        <v>0</v>
      </c>
      <c r="G139" s="69">
        <v>274.82499999999999</v>
      </c>
      <c r="H139">
        <f t="shared" si="2"/>
        <v>2.7482500000000001</v>
      </c>
    </row>
    <row r="140" spans="1:8" x14ac:dyDescent="0.2">
      <c r="A140" s="69">
        <v>2018</v>
      </c>
      <c r="B140" s="69">
        <v>4</v>
      </c>
      <c r="C140" s="69">
        <v>6</v>
      </c>
      <c r="D140">
        <v>19</v>
      </c>
      <c r="E140" s="69">
        <v>0</v>
      </c>
      <c r="F140" s="69">
        <v>0</v>
      </c>
      <c r="G140" s="69">
        <v>266.25</v>
      </c>
      <c r="H140">
        <f t="shared" si="2"/>
        <v>2.6625000000000001</v>
      </c>
    </row>
    <row r="141" spans="1:8" x14ac:dyDescent="0.2">
      <c r="A141" s="69">
        <v>2018</v>
      </c>
      <c r="B141" s="69">
        <v>4</v>
      </c>
      <c r="C141" s="69">
        <v>6</v>
      </c>
      <c r="D141" s="69">
        <v>20</v>
      </c>
      <c r="E141" s="69">
        <v>0</v>
      </c>
      <c r="F141" s="69">
        <v>0</v>
      </c>
      <c r="G141" s="69">
        <v>257.47500000000002</v>
      </c>
      <c r="H141">
        <f t="shared" si="2"/>
        <v>2.5747500000000003</v>
      </c>
    </row>
    <row r="142" spans="1:8" x14ac:dyDescent="0.2">
      <c r="A142" s="69">
        <v>2018</v>
      </c>
      <c r="B142" s="69">
        <v>4</v>
      </c>
      <c r="C142" s="69">
        <v>6</v>
      </c>
      <c r="D142">
        <v>21</v>
      </c>
      <c r="E142" s="69">
        <v>0</v>
      </c>
      <c r="F142" s="69">
        <v>0</v>
      </c>
      <c r="G142" s="69">
        <v>248.9</v>
      </c>
      <c r="H142">
        <f t="shared" si="2"/>
        <v>2.4889999999999999</v>
      </c>
    </row>
    <row r="143" spans="1:8" x14ac:dyDescent="0.2">
      <c r="A143" s="69">
        <v>2018</v>
      </c>
      <c r="B143" s="69">
        <v>4</v>
      </c>
      <c r="C143" s="69">
        <v>6</v>
      </c>
      <c r="D143" s="69">
        <v>22</v>
      </c>
      <c r="E143" s="69">
        <v>0</v>
      </c>
      <c r="F143" s="69">
        <v>0</v>
      </c>
      <c r="G143" s="69">
        <v>247.6</v>
      </c>
      <c r="H143">
        <f t="shared" si="2"/>
        <v>2.476</v>
      </c>
    </row>
    <row r="144" spans="1:8" x14ac:dyDescent="0.2">
      <c r="A144" s="69">
        <v>2018</v>
      </c>
      <c r="B144" s="69">
        <v>4</v>
      </c>
      <c r="C144" s="69">
        <v>6</v>
      </c>
      <c r="D144">
        <v>23</v>
      </c>
      <c r="E144" s="69">
        <v>0</v>
      </c>
      <c r="F144" s="69">
        <v>0</v>
      </c>
      <c r="G144" s="69">
        <v>248.92500000000001</v>
      </c>
      <c r="H144">
        <f t="shared" si="2"/>
        <v>2.4892500000000002</v>
      </c>
    </row>
    <row r="145" spans="1:8" x14ac:dyDescent="0.2">
      <c r="A145" s="69">
        <v>2018</v>
      </c>
      <c r="B145" s="69">
        <v>4</v>
      </c>
      <c r="C145" s="69">
        <v>7</v>
      </c>
      <c r="D145" s="69">
        <v>0</v>
      </c>
      <c r="E145" s="69">
        <v>0</v>
      </c>
      <c r="F145" s="69">
        <v>0</v>
      </c>
      <c r="G145" s="69">
        <v>257.42500000000001</v>
      </c>
      <c r="H145">
        <f t="shared" si="2"/>
        <v>2.5742500000000001</v>
      </c>
    </row>
    <row r="146" spans="1:8" x14ac:dyDescent="0.2">
      <c r="A146" s="69">
        <v>2018</v>
      </c>
      <c r="B146" s="69">
        <v>4</v>
      </c>
      <c r="C146" s="69">
        <v>7</v>
      </c>
      <c r="D146">
        <v>1</v>
      </c>
      <c r="E146" s="69">
        <v>0</v>
      </c>
      <c r="F146" s="69">
        <v>0</v>
      </c>
      <c r="G146" s="69">
        <v>265.02499999999998</v>
      </c>
      <c r="H146">
        <f t="shared" si="2"/>
        <v>2.6502499999999998</v>
      </c>
    </row>
    <row r="147" spans="1:8" x14ac:dyDescent="0.2">
      <c r="A147" s="69">
        <v>2018</v>
      </c>
      <c r="B147" s="69">
        <v>4</v>
      </c>
      <c r="C147" s="69">
        <v>7</v>
      </c>
      <c r="D147" s="69">
        <v>2</v>
      </c>
      <c r="E147" s="69">
        <v>0</v>
      </c>
      <c r="F147" s="69">
        <v>0</v>
      </c>
      <c r="G147" s="69">
        <v>275.05</v>
      </c>
      <c r="H147">
        <f t="shared" si="2"/>
        <v>2.7505000000000002</v>
      </c>
    </row>
    <row r="148" spans="1:8" x14ac:dyDescent="0.2">
      <c r="A148" s="69">
        <v>2018</v>
      </c>
      <c r="B148" s="69">
        <v>4</v>
      </c>
      <c r="C148" s="69">
        <v>7</v>
      </c>
      <c r="D148">
        <v>3</v>
      </c>
      <c r="E148" s="69">
        <v>0</v>
      </c>
      <c r="F148" s="69">
        <v>0</v>
      </c>
      <c r="G148" s="69">
        <v>284.07499999999999</v>
      </c>
      <c r="H148">
        <f t="shared" si="2"/>
        <v>2.8407499999999999</v>
      </c>
    </row>
    <row r="149" spans="1:8" x14ac:dyDescent="0.2">
      <c r="A149" s="69">
        <v>2018</v>
      </c>
      <c r="B149" s="69">
        <v>4</v>
      </c>
      <c r="C149" s="69">
        <v>7</v>
      </c>
      <c r="D149" s="69">
        <v>4</v>
      </c>
      <c r="E149" s="69">
        <v>0</v>
      </c>
      <c r="F149" s="69">
        <v>0</v>
      </c>
      <c r="G149" s="69">
        <v>286.77499999999998</v>
      </c>
      <c r="H149">
        <f t="shared" si="2"/>
        <v>2.8677499999999996</v>
      </c>
    </row>
    <row r="150" spans="1:8" x14ac:dyDescent="0.2">
      <c r="A150" s="69">
        <v>2018</v>
      </c>
      <c r="B150" s="69">
        <v>4</v>
      </c>
      <c r="C150" s="69">
        <v>7</v>
      </c>
      <c r="D150">
        <v>5</v>
      </c>
      <c r="E150" s="69">
        <v>0</v>
      </c>
      <c r="F150" s="69">
        <v>0</v>
      </c>
      <c r="G150" s="69">
        <v>284.22500000000002</v>
      </c>
      <c r="H150">
        <f t="shared" si="2"/>
        <v>2.8422500000000004</v>
      </c>
    </row>
    <row r="151" spans="1:8" x14ac:dyDescent="0.2">
      <c r="A151" s="69">
        <v>2018</v>
      </c>
      <c r="B151" s="69">
        <v>4</v>
      </c>
      <c r="C151" s="69">
        <v>7</v>
      </c>
      <c r="D151" s="69">
        <v>6</v>
      </c>
      <c r="E151" s="69">
        <v>0</v>
      </c>
      <c r="F151" s="69">
        <v>0</v>
      </c>
      <c r="G151" s="69">
        <v>273.02499999999998</v>
      </c>
      <c r="H151">
        <f t="shared" si="2"/>
        <v>2.7302499999999998</v>
      </c>
    </row>
    <row r="152" spans="1:8" x14ac:dyDescent="0.2">
      <c r="A152" s="69">
        <v>2018</v>
      </c>
      <c r="B152" s="69">
        <v>4</v>
      </c>
      <c r="C152" s="69">
        <v>7</v>
      </c>
      <c r="D152">
        <v>7</v>
      </c>
      <c r="E152" s="69">
        <v>0</v>
      </c>
      <c r="F152" s="69">
        <v>0</v>
      </c>
      <c r="G152" s="69">
        <v>257.7</v>
      </c>
      <c r="H152">
        <f t="shared" si="2"/>
        <v>2.577</v>
      </c>
    </row>
    <row r="153" spans="1:8" x14ac:dyDescent="0.2">
      <c r="A153" s="69">
        <v>2018</v>
      </c>
      <c r="B153" s="69">
        <v>4</v>
      </c>
      <c r="C153" s="69">
        <v>7</v>
      </c>
      <c r="D153" s="69">
        <v>8</v>
      </c>
      <c r="E153" s="69">
        <v>0</v>
      </c>
      <c r="F153" s="69">
        <v>0</v>
      </c>
      <c r="G153" s="69">
        <v>243.75</v>
      </c>
      <c r="H153">
        <f t="shared" si="2"/>
        <v>2.4375</v>
      </c>
    </row>
    <row r="154" spans="1:8" x14ac:dyDescent="0.2">
      <c r="A154" s="69">
        <v>2018</v>
      </c>
      <c r="B154" s="69">
        <v>4</v>
      </c>
      <c r="C154" s="69">
        <v>7</v>
      </c>
      <c r="D154">
        <v>9</v>
      </c>
      <c r="E154" s="69">
        <v>0</v>
      </c>
      <c r="F154" s="69">
        <v>0</v>
      </c>
      <c r="G154" s="69">
        <v>232.875</v>
      </c>
      <c r="H154">
        <f t="shared" si="2"/>
        <v>2.3287499999999999</v>
      </c>
    </row>
    <row r="155" spans="1:8" x14ac:dyDescent="0.2">
      <c r="A155" s="69">
        <v>2018</v>
      </c>
      <c r="B155" s="69">
        <v>4</v>
      </c>
      <c r="C155" s="69">
        <v>7</v>
      </c>
      <c r="D155" s="69">
        <v>10</v>
      </c>
      <c r="E155" s="69">
        <v>0</v>
      </c>
      <c r="F155" s="69">
        <v>0</v>
      </c>
      <c r="G155" s="69">
        <v>226.4</v>
      </c>
      <c r="H155">
        <f t="shared" si="2"/>
        <v>2.2640000000000002</v>
      </c>
    </row>
    <row r="156" spans="1:8" x14ac:dyDescent="0.2">
      <c r="A156" s="69">
        <v>2018</v>
      </c>
      <c r="B156" s="69">
        <v>4</v>
      </c>
      <c r="C156" s="69">
        <v>7</v>
      </c>
      <c r="D156">
        <v>11</v>
      </c>
      <c r="E156" s="69">
        <v>0</v>
      </c>
      <c r="F156" s="69">
        <v>0</v>
      </c>
      <c r="G156" s="69">
        <v>225.375</v>
      </c>
      <c r="H156">
        <f t="shared" si="2"/>
        <v>2.2537500000000001</v>
      </c>
    </row>
    <row r="157" spans="1:8" x14ac:dyDescent="0.2">
      <c r="A157" s="69">
        <v>2018</v>
      </c>
      <c r="B157" s="69">
        <v>4</v>
      </c>
      <c r="C157" s="69">
        <v>7</v>
      </c>
      <c r="D157" s="69">
        <v>12</v>
      </c>
      <c r="E157" s="69">
        <v>0</v>
      </c>
      <c r="F157" s="69">
        <v>0</v>
      </c>
      <c r="G157" s="69">
        <v>229.05</v>
      </c>
      <c r="H157">
        <f t="shared" si="2"/>
        <v>2.2905000000000002</v>
      </c>
    </row>
    <row r="158" spans="1:8" x14ac:dyDescent="0.2">
      <c r="A158" s="69">
        <v>2018</v>
      </c>
      <c r="B158" s="69">
        <v>4</v>
      </c>
      <c r="C158" s="69">
        <v>7</v>
      </c>
      <c r="D158">
        <v>13</v>
      </c>
      <c r="E158" s="69">
        <v>0</v>
      </c>
      <c r="F158" s="69">
        <v>0</v>
      </c>
      <c r="G158" s="69">
        <v>239.75</v>
      </c>
      <c r="H158">
        <f t="shared" si="2"/>
        <v>2.3975</v>
      </c>
    </row>
    <row r="159" spans="1:8" x14ac:dyDescent="0.2">
      <c r="A159" s="69">
        <v>2018</v>
      </c>
      <c r="B159" s="69">
        <v>4</v>
      </c>
      <c r="C159" s="69">
        <v>7</v>
      </c>
      <c r="D159" s="69">
        <v>14</v>
      </c>
      <c r="E159" s="69">
        <v>0</v>
      </c>
      <c r="F159" s="69">
        <v>0</v>
      </c>
      <c r="G159" s="69">
        <v>257.47500000000002</v>
      </c>
      <c r="H159">
        <f t="shared" si="2"/>
        <v>2.5747500000000003</v>
      </c>
    </row>
    <row r="160" spans="1:8" x14ac:dyDescent="0.2">
      <c r="A160" s="69">
        <v>2018</v>
      </c>
      <c r="B160" s="69">
        <v>4</v>
      </c>
      <c r="C160" s="69">
        <v>7</v>
      </c>
      <c r="D160">
        <v>15</v>
      </c>
      <c r="E160" s="69">
        <v>0</v>
      </c>
      <c r="F160" s="69">
        <v>0</v>
      </c>
      <c r="G160" s="69">
        <v>269.67500000000001</v>
      </c>
      <c r="H160">
        <f t="shared" si="2"/>
        <v>2.6967500000000002</v>
      </c>
    </row>
    <row r="161" spans="1:8" x14ac:dyDescent="0.2">
      <c r="A161" s="69">
        <v>2018</v>
      </c>
      <c r="B161" s="69">
        <v>4</v>
      </c>
      <c r="C161" s="69">
        <v>7</v>
      </c>
      <c r="D161" s="69">
        <v>16</v>
      </c>
      <c r="E161" s="69">
        <v>0</v>
      </c>
      <c r="F161" s="69">
        <v>0</v>
      </c>
      <c r="G161" s="69">
        <v>281.64999999999998</v>
      </c>
      <c r="H161">
        <f t="shared" si="2"/>
        <v>2.8164999999999996</v>
      </c>
    </row>
    <row r="162" spans="1:8" x14ac:dyDescent="0.2">
      <c r="A162" s="69">
        <v>2018</v>
      </c>
      <c r="B162" s="69">
        <v>4</v>
      </c>
      <c r="C162" s="69">
        <v>7</v>
      </c>
      <c r="D162">
        <v>17</v>
      </c>
      <c r="E162" s="69">
        <v>0</v>
      </c>
      <c r="F162" s="69">
        <v>0</v>
      </c>
      <c r="G162" s="69">
        <v>283.3</v>
      </c>
      <c r="H162">
        <f t="shared" si="2"/>
        <v>2.8330000000000002</v>
      </c>
    </row>
    <row r="163" spans="1:8" x14ac:dyDescent="0.2">
      <c r="A163" s="69">
        <v>2018</v>
      </c>
      <c r="B163" s="69">
        <v>4</v>
      </c>
      <c r="C163" s="69">
        <v>7</v>
      </c>
      <c r="D163" s="69">
        <v>18</v>
      </c>
      <c r="E163" s="69">
        <v>0</v>
      </c>
      <c r="F163" s="69">
        <v>0</v>
      </c>
      <c r="G163" s="69">
        <v>280.875</v>
      </c>
      <c r="H163">
        <f t="shared" si="2"/>
        <v>2.8087499999999999</v>
      </c>
    </row>
    <row r="164" spans="1:8" x14ac:dyDescent="0.2">
      <c r="A164" s="69">
        <v>2018</v>
      </c>
      <c r="B164" s="69">
        <v>4</v>
      </c>
      <c r="C164" s="69">
        <v>7</v>
      </c>
      <c r="D164">
        <v>19</v>
      </c>
      <c r="E164" s="69">
        <v>0</v>
      </c>
      <c r="F164" s="69">
        <v>0</v>
      </c>
      <c r="G164" s="69">
        <v>271.3</v>
      </c>
      <c r="H164">
        <f t="shared" si="2"/>
        <v>2.7130000000000001</v>
      </c>
    </row>
    <row r="165" spans="1:8" x14ac:dyDescent="0.2">
      <c r="A165" s="69">
        <v>2018</v>
      </c>
      <c r="B165" s="69">
        <v>4</v>
      </c>
      <c r="C165" s="69">
        <v>7</v>
      </c>
      <c r="D165" s="69">
        <v>20</v>
      </c>
      <c r="E165" s="69">
        <v>0</v>
      </c>
      <c r="F165" s="69">
        <v>0</v>
      </c>
      <c r="G165" s="69">
        <v>259.99999999999989</v>
      </c>
      <c r="H165">
        <f t="shared" si="2"/>
        <v>2.5999999999999988</v>
      </c>
    </row>
    <row r="166" spans="1:8" x14ac:dyDescent="0.2">
      <c r="A166" s="69">
        <v>2018</v>
      </c>
      <c r="B166" s="69">
        <v>4</v>
      </c>
      <c r="C166" s="69">
        <v>7</v>
      </c>
      <c r="D166">
        <v>21</v>
      </c>
      <c r="E166" s="69">
        <v>0</v>
      </c>
      <c r="F166" s="69">
        <v>0</v>
      </c>
      <c r="G166" s="69">
        <v>247.57499999999999</v>
      </c>
      <c r="H166">
        <f t="shared" si="2"/>
        <v>2.4757499999999997</v>
      </c>
    </row>
    <row r="167" spans="1:8" x14ac:dyDescent="0.2">
      <c r="A167" s="69">
        <v>2018</v>
      </c>
      <c r="B167" s="69">
        <v>4</v>
      </c>
      <c r="C167" s="69">
        <v>7</v>
      </c>
      <c r="D167" s="69">
        <v>22</v>
      </c>
      <c r="E167" s="69">
        <v>0</v>
      </c>
      <c r="F167" s="69">
        <v>0</v>
      </c>
      <c r="G167" s="69">
        <v>241.5</v>
      </c>
      <c r="H167">
        <f t="shared" si="2"/>
        <v>2.415</v>
      </c>
    </row>
    <row r="168" spans="1:8" x14ac:dyDescent="0.2">
      <c r="A168" s="69">
        <v>2018</v>
      </c>
      <c r="B168" s="69">
        <v>4</v>
      </c>
      <c r="C168" s="69">
        <v>7</v>
      </c>
      <c r="D168">
        <v>23</v>
      </c>
      <c r="E168" s="69">
        <v>0</v>
      </c>
      <c r="F168" s="69">
        <v>0</v>
      </c>
      <c r="G168" s="69">
        <v>238.82499999999999</v>
      </c>
      <c r="H168">
        <f t="shared" si="2"/>
        <v>2.3882499999999998</v>
      </c>
    </row>
    <row r="169" spans="1:8" x14ac:dyDescent="0.2">
      <c r="A169" s="69">
        <v>2018</v>
      </c>
      <c r="B169" s="69">
        <v>4</v>
      </c>
      <c r="C169" s="69">
        <v>8</v>
      </c>
      <c r="D169" s="69">
        <v>0</v>
      </c>
      <c r="E169" s="69">
        <v>0</v>
      </c>
      <c r="F169" s="69">
        <v>0</v>
      </c>
      <c r="G169" s="69">
        <v>243.15</v>
      </c>
      <c r="H169">
        <f t="shared" si="2"/>
        <v>2.4315000000000002</v>
      </c>
    </row>
    <row r="170" spans="1:8" x14ac:dyDescent="0.2">
      <c r="A170" s="69">
        <v>2018</v>
      </c>
      <c r="B170" s="69">
        <v>4</v>
      </c>
      <c r="C170" s="69">
        <v>8</v>
      </c>
      <c r="D170">
        <v>1</v>
      </c>
      <c r="E170" s="69">
        <v>0</v>
      </c>
      <c r="F170" s="69">
        <v>0</v>
      </c>
      <c r="G170" s="69">
        <v>253.7</v>
      </c>
      <c r="H170">
        <f t="shared" si="2"/>
        <v>2.5369999999999999</v>
      </c>
    </row>
    <row r="171" spans="1:8" x14ac:dyDescent="0.2">
      <c r="A171" s="69">
        <v>2018</v>
      </c>
      <c r="B171" s="69">
        <v>4</v>
      </c>
      <c r="C171" s="69">
        <v>8</v>
      </c>
      <c r="D171" s="69">
        <v>2</v>
      </c>
      <c r="E171" s="69">
        <v>0</v>
      </c>
      <c r="F171" s="69">
        <v>0</v>
      </c>
      <c r="G171" s="69">
        <v>265.42500000000001</v>
      </c>
      <c r="H171">
        <f t="shared" si="2"/>
        <v>2.6542500000000002</v>
      </c>
    </row>
    <row r="172" spans="1:8" x14ac:dyDescent="0.2">
      <c r="A172" s="69">
        <v>2018</v>
      </c>
      <c r="B172" s="69">
        <v>4</v>
      </c>
      <c r="C172" s="69">
        <v>8</v>
      </c>
      <c r="D172">
        <v>3</v>
      </c>
      <c r="E172" s="69">
        <v>0</v>
      </c>
      <c r="F172" s="69">
        <v>0</v>
      </c>
      <c r="G172" s="69">
        <v>276.97500000000002</v>
      </c>
      <c r="H172">
        <f t="shared" si="2"/>
        <v>2.7697500000000002</v>
      </c>
    </row>
    <row r="173" spans="1:8" x14ac:dyDescent="0.2">
      <c r="A173" s="69">
        <v>2018</v>
      </c>
      <c r="B173" s="69">
        <v>4</v>
      </c>
      <c r="C173" s="69">
        <v>8</v>
      </c>
      <c r="D173" s="69">
        <v>4</v>
      </c>
      <c r="E173" s="69">
        <v>0</v>
      </c>
      <c r="F173" s="69">
        <v>0</v>
      </c>
      <c r="G173" s="69">
        <v>286.875</v>
      </c>
      <c r="H173">
        <f t="shared" si="2"/>
        <v>2.8687499999999999</v>
      </c>
    </row>
    <row r="174" spans="1:8" x14ac:dyDescent="0.2">
      <c r="A174" s="69">
        <v>2018</v>
      </c>
      <c r="B174" s="69">
        <v>4</v>
      </c>
      <c r="C174" s="69">
        <v>8</v>
      </c>
      <c r="D174">
        <v>5</v>
      </c>
      <c r="E174" s="69">
        <v>0</v>
      </c>
      <c r="F174" s="69">
        <v>0</v>
      </c>
      <c r="G174" s="69">
        <v>289.625</v>
      </c>
      <c r="H174">
        <f t="shared" si="2"/>
        <v>2.8962500000000002</v>
      </c>
    </row>
    <row r="175" spans="1:8" x14ac:dyDescent="0.2">
      <c r="A175" s="69">
        <v>2018</v>
      </c>
      <c r="B175" s="69">
        <v>4</v>
      </c>
      <c r="C175" s="69">
        <v>8</v>
      </c>
      <c r="D175" s="69">
        <v>6</v>
      </c>
      <c r="E175" s="69">
        <v>0</v>
      </c>
      <c r="F175" s="69">
        <v>0</v>
      </c>
      <c r="G175" s="69">
        <v>283.77499999999998</v>
      </c>
      <c r="H175">
        <f t="shared" si="2"/>
        <v>2.8377499999999998</v>
      </c>
    </row>
    <row r="176" spans="1:8" x14ac:dyDescent="0.2">
      <c r="A176" s="69">
        <v>2018</v>
      </c>
      <c r="B176" s="69">
        <v>4</v>
      </c>
      <c r="C176" s="69">
        <v>8</v>
      </c>
      <c r="D176">
        <v>7</v>
      </c>
      <c r="E176" s="69">
        <v>0</v>
      </c>
      <c r="F176" s="69">
        <v>0</v>
      </c>
      <c r="G176" s="69">
        <v>275.92500000000001</v>
      </c>
      <c r="H176">
        <f t="shared" si="2"/>
        <v>2.7592500000000002</v>
      </c>
    </row>
    <row r="177" spans="1:8" x14ac:dyDescent="0.2">
      <c r="A177" s="69">
        <v>2018</v>
      </c>
      <c r="B177" s="69">
        <v>4</v>
      </c>
      <c r="C177" s="69">
        <v>8</v>
      </c>
      <c r="D177" s="69">
        <v>8</v>
      </c>
      <c r="E177" s="69">
        <v>0</v>
      </c>
      <c r="F177" s="69">
        <v>0</v>
      </c>
      <c r="G177" s="69">
        <v>263.42500000000001</v>
      </c>
      <c r="H177">
        <f t="shared" si="2"/>
        <v>2.6342500000000002</v>
      </c>
    </row>
    <row r="178" spans="1:8" x14ac:dyDescent="0.2">
      <c r="A178" s="69">
        <v>2018</v>
      </c>
      <c r="B178" s="69">
        <v>4</v>
      </c>
      <c r="C178" s="69">
        <v>8</v>
      </c>
      <c r="D178">
        <v>9</v>
      </c>
      <c r="E178" s="69">
        <v>0</v>
      </c>
      <c r="F178" s="69">
        <v>0</v>
      </c>
      <c r="G178" s="69">
        <v>250.02500000000001</v>
      </c>
      <c r="H178">
        <f t="shared" si="2"/>
        <v>2.5002499999999999</v>
      </c>
    </row>
    <row r="179" spans="1:8" x14ac:dyDescent="0.2">
      <c r="A179" s="69">
        <v>2018</v>
      </c>
      <c r="B179" s="69">
        <v>4</v>
      </c>
      <c r="C179" s="69">
        <v>8</v>
      </c>
      <c r="D179" s="69">
        <v>10</v>
      </c>
      <c r="E179" s="69">
        <v>0</v>
      </c>
      <c r="F179" s="69">
        <v>0</v>
      </c>
      <c r="G179" s="69">
        <v>242.125</v>
      </c>
      <c r="H179">
        <f t="shared" si="2"/>
        <v>2.4212500000000001</v>
      </c>
    </row>
    <row r="180" spans="1:8" x14ac:dyDescent="0.2">
      <c r="A180" s="69">
        <v>2018</v>
      </c>
      <c r="B180" s="69">
        <v>4</v>
      </c>
      <c r="C180" s="69">
        <v>8</v>
      </c>
      <c r="D180">
        <v>11</v>
      </c>
      <c r="E180" s="69">
        <v>0</v>
      </c>
      <c r="F180" s="69">
        <v>0</v>
      </c>
      <c r="G180" s="69">
        <v>242.625</v>
      </c>
      <c r="H180">
        <f t="shared" si="2"/>
        <v>2.42625</v>
      </c>
    </row>
    <row r="181" spans="1:8" x14ac:dyDescent="0.2">
      <c r="A181" s="69">
        <v>2018</v>
      </c>
      <c r="B181" s="69">
        <v>4</v>
      </c>
      <c r="C181" s="69">
        <v>8</v>
      </c>
      <c r="D181" s="69">
        <v>12</v>
      </c>
      <c r="E181" s="69">
        <v>0</v>
      </c>
      <c r="F181" s="69">
        <v>0</v>
      </c>
      <c r="G181" s="69">
        <v>238.25</v>
      </c>
      <c r="H181">
        <f t="shared" si="2"/>
        <v>2.3824999999999998</v>
      </c>
    </row>
    <row r="182" spans="1:8" x14ac:dyDescent="0.2">
      <c r="A182" s="69">
        <v>2018</v>
      </c>
      <c r="B182" s="69">
        <v>4</v>
      </c>
      <c r="C182" s="69">
        <v>8</v>
      </c>
      <c r="D182">
        <v>13</v>
      </c>
      <c r="E182" s="69">
        <v>0</v>
      </c>
      <c r="F182" s="69">
        <v>0</v>
      </c>
      <c r="G182" s="69">
        <v>250.7</v>
      </c>
      <c r="H182">
        <f t="shared" si="2"/>
        <v>2.5069999999999997</v>
      </c>
    </row>
    <row r="183" spans="1:8" x14ac:dyDescent="0.2">
      <c r="A183" s="69">
        <v>2018</v>
      </c>
      <c r="B183" s="69">
        <v>4</v>
      </c>
      <c r="C183" s="69">
        <v>8</v>
      </c>
      <c r="D183" s="69">
        <v>14</v>
      </c>
      <c r="E183" s="69">
        <v>0</v>
      </c>
      <c r="F183" s="69">
        <v>0</v>
      </c>
      <c r="G183" s="69">
        <v>260.95</v>
      </c>
      <c r="H183">
        <f t="shared" si="2"/>
        <v>2.6094999999999997</v>
      </c>
    </row>
    <row r="184" spans="1:8" x14ac:dyDescent="0.2">
      <c r="A184" s="69">
        <v>2018</v>
      </c>
      <c r="B184" s="69">
        <v>4</v>
      </c>
      <c r="C184" s="69">
        <v>8</v>
      </c>
      <c r="D184">
        <v>15</v>
      </c>
      <c r="E184" s="69">
        <v>0</v>
      </c>
      <c r="F184" s="69">
        <v>0</v>
      </c>
      <c r="G184" s="69">
        <v>277.625</v>
      </c>
      <c r="H184">
        <f t="shared" si="2"/>
        <v>2.7762500000000001</v>
      </c>
    </row>
    <row r="185" spans="1:8" x14ac:dyDescent="0.2">
      <c r="A185" s="69">
        <v>2018</v>
      </c>
      <c r="B185" s="69">
        <v>4</v>
      </c>
      <c r="C185" s="69">
        <v>8</v>
      </c>
      <c r="D185" s="69">
        <v>16</v>
      </c>
      <c r="E185" s="69">
        <v>0</v>
      </c>
      <c r="F185" s="69">
        <v>0</v>
      </c>
      <c r="G185" s="69">
        <v>288.47500000000002</v>
      </c>
      <c r="H185">
        <f t="shared" si="2"/>
        <v>2.8847500000000004</v>
      </c>
    </row>
    <row r="186" spans="1:8" x14ac:dyDescent="0.2">
      <c r="A186" s="69">
        <v>2018</v>
      </c>
      <c r="B186" s="69">
        <v>4</v>
      </c>
      <c r="C186" s="69">
        <v>8</v>
      </c>
      <c r="D186">
        <v>17</v>
      </c>
      <c r="E186" s="69">
        <v>0</v>
      </c>
      <c r="F186" s="69">
        <v>0</v>
      </c>
      <c r="G186" s="69">
        <v>290.375</v>
      </c>
      <c r="H186">
        <f t="shared" si="2"/>
        <v>2.9037500000000001</v>
      </c>
    </row>
    <row r="187" spans="1:8" x14ac:dyDescent="0.2">
      <c r="A187" s="69">
        <v>2018</v>
      </c>
      <c r="B187" s="69">
        <v>4</v>
      </c>
      <c r="C187" s="69">
        <v>8</v>
      </c>
      <c r="D187" s="69">
        <v>18</v>
      </c>
      <c r="E187" s="69">
        <v>0</v>
      </c>
      <c r="F187" s="69">
        <v>0</v>
      </c>
      <c r="G187" s="69">
        <v>290</v>
      </c>
      <c r="H187">
        <f t="shared" si="2"/>
        <v>2.9</v>
      </c>
    </row>
    <row r="188" spans="1:8" x14ac:dyDescent="0.2">
      <c r="A188" s="69">
        <v>2018</v>
      </c>
      <c r="B188" s="69">
        <v>4</v>
      </c>
      <c r="C188" s="69">
        <v>8</v>
      </c>
      <c r="D188">
        <v>19</v>
      </c>
      <c r="E188" s="69">
        <v>0</v>
      </c>
      <c r="F188" s="69">
        <v>0</v>
      </c>
      <c r="G188" s="69">
        <v>281.14999999999998</v>
      </c>
      <c r="H188">
        <f t="shared" si="2"/>
        <v>2.8114999999999997</v>
      </c>
    </row>
    <row r="189" spans="1:8" x14ac:dyDescent="0.2">
      <c r="A189" s="69">
        <v>2018</v>
      </c>
      <c r="B189" s="69">
        <v>4</v>
      </c>
      <c r="C189" s="69">
        <v>8</v>
      </c>
      <c r="D189" s="69">
        <v>20</v>
      </c>
      <c r="E189" s="69">
        <v>0</v>
      </c>
      <c r="F189" s="69">
        <v>0</v>
      </c>
      <c r="G189" s="69">
        <v>270.2</v>
      </c>
      <c r="H189">
        <f t="shared" si="2"/>
        <v>2.702</v>
      </c>
    </row>
    <row r="190" spans="1:8" x14ac:dyDescent="0.2">
      <c r="A190" s="69">
        <v>2018</v>
      </c>
      <c r="B190" s="69">
        <v>4</v>
      </c>
      <c r="C190" s="69">
        <v>8</v>
      </c>
      <c r="D190">
        <v>21</v>
      </c>
      <c r="E190" s="69">
        <v>0</v>
      </c>
      <c r="F190" s="69">
        <v>0</v>
      </c>
      <c r="G190" s="69">
        <v>255.27500000000001</v>
      </c>
      <c r="H190">
        <f t="shared" si="2"/>
        <v>2.5527500000000001</v>
      </c>
    </row>
    <row r="191" spans="1:8" x14ac:dyDescent="0.2">
      <c r="A191" s="69">
        <v>2018</v>
      </c>
      <c r="B191" s="69">
        <v>4</v>
      </c>
      <c r="C191" s="69">
        <v>8</v>
      </c>
      <c r="D191" s="69">
        <v>22</v>
      </c>
      <c r="E191" s="69">
        <v>0</v>
      </c>
      <c r="F191" s="69">
        <v>0</v>
      </c>
      <c r="G191" s="69">
        <v>244.55</v>
      </c>
      <c r="H191">
        <f t="shared" si="2"/>
        <v>2.4455</v>
      </c>
    </row>
    <row r="192" spans="1:8" x14ac:dyDescent="0.2">
      <c r="A192" s="69">
        <v>2018</v>
      </c>
      <c r="B192" s="69">
        <v>4</v>
      </c>
      <c r="C192" s="69">
        <v>8</v>
      </c>
      <c r="D192">
        <v>23</v>
      </c>
      <c r="E192" s="69">
        <v>0</v>
      </c>
      <c r="F192" s="69">
        <v>0</v>
      </c>
      <c r="G192" s="69">
        <v>238.375</v>
      </c>
      <c r="H192">
        <f t="shared" si="2"/>
        <v>2.38375</v>
      </c>
    </row>
    <row r="193" spans="1:8" x14ac:dyDescent="0.2">
      <c r="A193" s="69">
        <v>2018</v>
      </c>
      <c r="B193" s="69">
        <v>4</v>
      </c>
      <c r="C193" s="69">
        <v>9</v>
      </c>
      <c r="D193" s="69">
        <v>0</v>
      </c>
      <c r="E193" s="69">
        <v>0</v>
      </c>
      <c r="F193" s="69">
        <v>0</v>
      </c>
      <c r="G193" s="69">
        <v>240</v>
      </c>
      <c r="H193">
        <f t="shared" ref="H193:H256" si="3">G193/100</f>
        <v>2.4</v>
      </c>
    </row>
    <row r="194" spans="1:8" x14ac:dyDescent="0.2">
      <c r="A194" s="69">
        <v>2018</v>
      </c>
      <c r="B194" s="69">
        <v>4</v>
      </c>
      <c r="C194" s="69">
        <v>9</v>
      </c>
      <c r="D194">
        <v>1</v>
      </c>
      <c r="E194" s="69">
        <v>0</v>
      </c>
      <c r="F194" s="69">
        <v>0</v>
      </c>
      <c r="G194" s="69">
        <v>249.57499999999999</v>
      </c>
      <c r="H194">
        <f t="shared" si="3"/>
        <v>2.4957499999999997</v>
      </c>
    </row>
    <row r="195" spans="1:8" x14ac:dyDescent="0.2">
      <c r="A195" s="69">
        <v>2018</v>
      </c>
      <c r="B195" s="69">
        <v>4</v>
      </c>
      <c r="C195" s="69">
        <v>9</v>
      </c>
      <c r="D195" s="69">
        <v>2</v>
      </c>
      <c r="E195" s="69">
        <v>0</v>
      </c>
      <c r="F195" s="69">
        <v>0</v>
      </c>
      <c r="G195" s="69">
        <v>259.27499999999998</v>
      </c>
      <c r="H195">
        <f t="shared" si="3"/>
        <v>2.5927499999999997</v>
      </c>
    </row>
    <row r="196" spans="1:8" x14ac:dyDescent="0.2">
      <c r="A196" s="69">
        <v>2018</v>
      </c>
      <c r="B196" s="69">
        <v>4</v>
      </c>
      <c r="C196" s="69">
        <v>9</v>
      </c>
      <c r="D196">
        <v>3</v>
      </c>
      <c r="E196" s="69">
        <v>0</v>
      </c>
      <c r="F196" s="69">
        <v>0</v>
      </c>
      <c r="G196" s="69">
        <v>271.875</v>
      </c>
      <c r="H196">
        <f t="shared" si="3"/>
        <v>2.71875</v>
      </c>
    </row>
    <row r="197" spans="1:8" x14ac:dyDescent="0.2">
      <c r="A197" s="69">
        <v>2018</v>
      </c>
      <c r="B197" s="69">
        <v>4</v>
      </c>
      <c r="C197" s="69">
        <v>9</v>
      </c>
      <c r="D197" s="69">
        <v>4</v>
      </c>
      <c r="E197" s="69">
        <v>0</v>
      </c>
      <c r="F197" s="69">
        <v>0</v>
      </c>
      <c r="G197" s="69">
        <v>282.5</v>
      </c>
      <c r="H197">
        <f t="shared" si="3"/>
        <v>2.8250000000000002</v>
      </c>
    </row>
    <row r="198" spans="1:8" x14ac:dyDescent="0.2">
      <c r="A198" s="69">
        <v>2018</v>
      </c>
      <c r="B198" s="69">
        <v>4</v>
      </c>
      <c r="C198" s="69">
        <v>9</v>
      </c>
      <c r="D198">
        <v>5</v>
      </c>
      <c r="E198" s="69">
        <v>0</v>
      </c>
      <c r="F198" s="69">
        <v>0</v>
      </c>
      <c r="G198" s="69">
        <v>288.125</v>
      </c>
      <c r="H198">
        <f t="shared" si="3"/>
        <v>2.8812500000000001</v>
      </c>
    </row>
    <row r="199" spans="1:8" x14ac:dyDescent="0.2">
      <c r="A199" s="69">
        <v>2018</v>
      </c>
      <c r="B199" s="69">
        <v>4</v>
      </c>
      <c r="C199" s="69">
        <v>9</v>
      </c>
      <c r="D199" s="69">
        <v>6</v>
      </c>
      <c r="E199" s="69">
        <v>0</v>
      </c>
      <c r="F199" s="69">
        <v>0</v>
      </c>
      <c r="G199" s="69">
        <v>285.8</v>
      </c>
      <c r="H199">
        <f t="shared" si="3"/>
        <v>2.8580000000000001</v>
      </c>
    </row>
    <row r="200" spans="1:8" x14ac:dyDescent="0.2">
      <c r="A200" s="69">
        <v>2018</v>
      </c>
      <c r="B200" s="69">
        <v>4</v>
      </c>
      <c r="C200" s="69">
        <v>9</v>
      </c>
      <c r="D200">
        <v>7</v>
      </c>
      <c r="E200" s="69">
        <v>0</v>
      </c>
      <c r="F200" s="69">
        <v>0</v>
      </c>
      <c r="G200" s="69">
        <v>275.89999999999998</v>
      </c>
      <c r="H200">
        <f t="shared" si="3"/>
        <v>2.7589999999999999</v>
      </c>
    </row>
    <row r="201" spans="1:8" x14ac:dyDescent="0.2">
      <c r="A201" s="69">
        <v>2018</v>
      </c>
      <c r="B201" s="69">
        <v>4</v>
      </c>
      <c r="C201" s="69">
        <v>9</v>
      </c>
      <c r="D201" s="69">
        <v>8</v>
      </c>
      <c r="E201" s="69">
        <v>0</v>
      </c>
      <c r="F201" s="69">
        <v>0</v>
      </c>
      <c r="G201" s="69">
        <v>260.39999999999998</v>
      </c>
      <c r="H201">
        <f t="shared" si="3"/>
        <v>2.6039999999999996</v>
      </c>
    </row>
    <row r="202" spans="1:8" x14ac:dyDescent="0.2">
      <c r="A202" s="69">
        <v>2018</v>
      </c>
      <c r="B202" s="69">
        <v>4</v>
      </c>
      <c r="C202" s="69">
        <v>9</v>
      </c>
      <c r="D202">
        <v>9</v>
      </c>
      <c r="E202" s="69">
        <v>0</v>
      </c>
      <c r="F202" s="69">
        <v>0</v>
      </c>
      <c r="G202" s="69">
        <v>246.42500000000001</v>
      </c>
      <c r="H202">
        <f t="shared" si="3"/>
        <v>2.4642500000000003</v>
      </c>
    </row>
    <row r="203" spans="1:8" x14ac:dyDescent="0.2">
      <c r="A203" s="69">
        <v>2018</v>
      </c>
      <c r="B203" s="69">
        <v>4</v>
      </c>
      <c r="C203" s="69">
        <v>9</v>
      </c>
      <c r="D203" s="69">
        <v>10</v>
      </c>
      <c r="E203" s="69">
        <v>0</v>
      </c>
      <c r="F203" s="69">
        <v>0</v>
      </c>
      <c r="G203" s="69">
        <v>234.55</v>
      </c>
      <c r="H203">
        <f t="shared" si="3"/>
        <v>2.3454999999999999</v>
      </c>
    </row>
    <row r="204" spans="1:8" x14ac:dyDescent="0.2">
      <c r="A204" s="69">
        <v>2018</v>
      </c>
      <c r="B204" s="69">
        <v>4</v>
      </c>
      <c r="C204" s="69">
        <v>9</v>
      </c>
      <c r="D204">
        <v>11</v>
      </c>
      <c r="E204" s="69">
        <v>0</v>
      </c>
      <c r="F204" s="69">
        <v>0</v>
      </c>
      <c r="G204" s="69">
        <v>228.02500000000001</v>
      </c>
      <c r="H204">
        <f t="shared" si="3"/>
        <v>2.2802500000000001</v>
      </c>
    </row>
    <row r="205" spans="1:8" x14ac:dyDescent="0.2">
      <c r="A205" s="69">
        <v>2018</v>
      </c>
      <c r="B205" s="69">
        <v>4</v>
      </c>
      <c r="C205" s="69">
        <v>9</v>
      </c>
      <c r="D205" s="69">
        <v>12</v>
      </c>
      <c r="E205" s="69">
        <v>0</v>
      </c>
      <c r="F205" s="69">
        <v>0</v>
      </c>
      <c r="G205" s="69">
        <v>232.07499999999999</v>
      </c>
      <c r="H205">
        <f t="shared" si="3"/>
        <v>2.3207499999999999</v>
      </c>
    </row>
    <row r="206" spans="1:8" x14ac:dyDescent="0.2">
      <c r="A206" s="69">
        <v>2018</v>
      </c>
      <c r="B206" s="69">
        <v>4</v>
      </c>
      <c r="C206" s="69">
        <v>9</v>
      </c>
      <c r="D206">
        <v>13</v>
      </c>
      <c r="E206" s="69">
        <v>0</v>
      </c>
      <c r="F206" s="69">
        <v>0</v>
      </c>
      <c r="G206" s="69">
        <v>236.42500000000001</v>
      </c>
      <c r="H206">
        <f t="shared" si="3"/>
        <v>2.3642500000000002</v>
      </c>
    </row>
    <row r="207" spans="1:8" x14ac:dyDescent="0.2">
      <c r="A207" s="69">
        <v>2018</v>
      </c>
      <c r="B207" s="69">
        <v>4</v>
      </c>
      <c r="C207" s="69">
        <v>9</v>
      </c>
      <c r="D207" s="69">
        <v>14</v>
      </c>
      <c r="E207" s="69">
        <v>0</v>
      </c>
      <c r="F207" s="69">
        <v>0</v>
      </c>
      <c r="G207" s="69">
        <v>251.82499999999999</v>
      </c>
      <c r="H207">
        <f t="shared" si="3"/>
        <v>2.5182500000000001</v>
      </c>
    </row>
    <row r="208" spans="1:8" x14ac:dyDescent="0.2">
      <c r="A208" s="69">
        <v>2018</v>
      </c>
      <c r="B208" s="69">
        <v>4</v>
      </c>
      <c r="C208" s="69">
        <v>9</v>
      </c>
      <c r="D208">
        <v>15</v>
      </c>
      <c r="E208" s="69">
        <v>0</v>
      </c>
      <c r="F208" s="69">
        <v>0</v>
      </c>
      <c r="G208" s="69">
        <v>266.82499999999999</v>
      </c>
      <c r="H208">
        <f t="shared" si="3"/>
        <v>2.66825</v>
      </c>
    </row>
    <row r="209" spans="1:8" x14ac:dyDescent="0.2">
      <c r="A209" s="69">
        <v>2018</v>
      </c>
      <c r="B209" s="69">
        <v>4</v>
      </c>
      <c r="C209" s="69">
        <v>9</v>
      </c>
      <c r="D209" s="69">
        <v>16</v>
      </c>
      <c r="E209" s="69">
        <v>0</v>
      </c>
      <c r="F209" s="69">
        <v>0</v>
      </c>
      <c r="G209" s="69">
        <v>280.74999999999989</v>
      </c>
      <c r="H209">
        <f t="shared" si="3"/>
        <v>2.8074999999999988</v>
      </c>
    </row>
    <row r="210" spans="1:8" x14ac:dyDescent="0.2">
      <c r="A210" s="69">
        <v>2018</v>
      </c>
      <c r="B210" s="69">
        <v>4</v>
      </c>
      <c r="C210" s="69">
        <v>9</v>
      </c>
      <c r="D210">
        <v>17</v>
      </c>
      <c r="E210" s="69">
        <v>0</v>
      </c>
      <c r="F210" s="69">
        <v>0</v>
      </c>
      <c r="G210" s="69">
        <v>287.55</v>
      </c>
      <c r="H210">
        <f t="shared" si="3"/>
        <v>2.8755000000000002</v>
      </c>
    </row>
    <row r="211" spans="1:8" x14ac:dyDescent="0.2">
      <c r="A211" s="69">
        <v>2018</v>
      </c>
      <c r="B211" s="69">
        <v>4</v>
      </c>
      <c r="C211" s="69">
        <v>9</v>
      </c>
      <c r="D211" s="69">
        <v>18</v>
      </c>
      <c r="E211" s="69">
        <v>0</v>
      </c>
      <c r="F211" s="69">
        <v>0</v>
      </c>
      <c r="G211" s="69">
        <v>288.95</v>
      </c>
      <c r="H211">
        <f t="shared" si="3"/>
        <v>2.8895</v>
      </c>
    </row>
    <row r="212" spans="1:8" x14ac:dyDescent="0.2">
      <c r="A212" s="69">
        <v>2018</v>
      </c>
      <c r="B212" s="69">
        <v>4</v>
      </c>
      <c r="C212" s="69">
        <v>9</v>
      </c>
      <c r="D212">
        <v>19</v>
      </c>
      <c r="E212" s="69">
        <v>0</v>
      </c>
      <c r="F212" s="69">
        <v>0</v>
      </c>
      <c r="G212" s="69">
        <v>280.10000000000002</v>
      </c>
      <c r="H212">
        <f t="shared" si="3"/>
        <v>2.8010000000000002</v>
      </c>
    </row>
    <row r="213" spans="1:8" x14ac:dyDescent="0.2">
      <c r="A213" s="69">
        <v>2018</v>
      </c>
      <c r="B213" s="69">
        <v>4</v>
      </c>
      <c r="C213" s="69">
        <v>9</v>
      </c>
      <c r="D213" s="69">
        <v>20</v>
      </c>
      <c r="E213" s="69">
        <v>0</v>
      </c>
      <c r="F213" s="69">
        <v>0</v>
      </c>
      <c r="G213" s="69">
        <v>265.32499999999999</v>
      </c>
      <c r="H213">
        <f t="shared" si="3"/>
        <v>2.6532499999999999</v>
      </c>
    </row>
    <row r="214" spans="1:8" x14ac:dyDescent="0.2">
      <c r="A214" s="69">
        <v>2018</v>
      </c>
      <c r="B214" s="69">
        <v>4</v>
      </c>
      <c r="C214" s="69">
        <v>9</v>
      </c>
      <c r="D214">
        <v>21</v>
      </c>
      <c r="E214" s="69">
        <v>0</v>
      </c>
      <c r="F214" s="69">
        <v>0</v>
      </c>
      <c r="G214" s="69">
        <v>251.9</v>
      </c>
      <c r="H214">
        <f t="shared" si="3"/>
        <v>2.5190000000000001</v>
      </c>
    </row>
    <row r="215" spans="1:8" x14ac:dyDescent="0.2">
      <c r="A215" s="69">
        <v>2018</v>
      </c>
      <c r="B215" s="69">
        <v>4</v>
      </c>
      <c r="C215" s="69">
        <v>9</v>
      </c>
      <c r="D215" s="69">
        <v>22</v>
      </c>
      <c r="E215" s="69">
        <v>0</v>
      </c>
      <c r="F215" s="69">
        <v>0</v>
      </c>
      <c r="G215" s="69">
        <v>238.17500000000001</v>
      </c>
      <c r="H215">
        <f t="shared" si="3"/>
        <v>2.3817500000000003</v>
      </c>
    </row>
    <row r="216" spans="1:8" x14ac:dyDescent="0.2">
      <c r="A216" s="69">
        <v>2018</v>
      </c>
      <c r="B216" s="69">
        <v>4</v>
      </c>
      <c r="C216" s="69">
        <v>9</v>
      </c>
      <c r="D216">
        <v>23</v>
      </c>
      <c r="E216" s="69">
        <v>0</v>
      </c>
      <c r="F216" s="69">
        <v>0</v>
      </c>
      <c r="G216" s="69">
        <v>232.77500000000001</v>
      </c>
      <c r="H216">
        <f t="shared" si="3"/>
        <v>2.32775</v>
      </c>
    </row>
    <row r="217" spans="1:8" x14ac:dyDescent="0.2">
      <c r="A217" s="69">
        <v>2018</v>
      </c>
      <c r="B217" s="69">
        <v>4</v>
      </c>
      <c r="C217" s="69">
        <v>10</v>
      </c>
      <c r="D217" s="69">
        <v>0</v>
      </c>
      <c r="E217" s="69">
        <v>0</v>
      </c>
      <c r="F217" s="69">
        <v>0</v>
      </c>
      <c r="G217" s="69">
        <v>230.8</v>
      </c>
      <c r="H217">
        <f t="shared" si="3"/>
        <v>2.3080000000000003</v>
      </c>
    </row>
    <row r="218" spans="1:8" x14ac:dyDescent="0.2">
      <c r="A218" s="69">
        <v>2018</v>
      </c>
      <c r="B218" s="69">
        <v>4</v>
      </c>
      <c r="C218" s="69">
        <v>10</v>
      </c>
      <c r="D218">
        <v>1</v>
      </c>
      <c r="E218" s="69">
        <v>0</v>
      </c>
      <c r="F218" s="69">
        <v>0</v>
      </c>
      <c r="G218" s="69">
        <v>238.3</v>
      </c>
      <c r="H218">
        <f t="shared" si="3"/>
        <v>2.383</v>
      </c>
    </row>
    <row r="219" spans="1:8" x14ac:dyDescent="0.2">
      <c r="A219" s="69">
        <v>2018</v>
      </c>
      <c r="B219" s="69">
        <v>4</v>
      </c>
      <c r="C219" s="69">
        <v>10</v>
      </c>
      <c r="D219" s="69">
        <v>2</v>
      </c>
      <c r="E219" s="69">
        <v>0</v>
      </c>
      <c r="F219" s="69">
        <v>0</v>
      </c>
      <c r="G219" s="69">
        <v>248.87499999999989</v>
      </c>
      <c r="H219">
        <f t="shared" si="3"/>
        <v>2.4887499999999987</v>
      </c>
    </row>
    <row r="220" spans="1:8" x14ac:dyDescent="0.2">
      <c r="A220" s="69">
        <v>2018</v>
      </c>
      <c r="B220" s="69">
        <v>4</v>
      </c>
      <c r="C220" s="69">
        <v>10</v>
      </c>
      <c r="D220">
        <v>3</v>
      </c>
      <c r="E220" s="69">
        <v>0</v>
      </c>
      <c r="F220" s="69">
        <v>0</v>
      </c>
      <c r="G220" s="69">
        <v>262.375</v>
      </c>
      <c r="H220">
        <f t="shared" si="3"/>
        <v>2.6237499999999998</v>
      </c>
    </row>
    <row r="221" spans="1:8" x14ac:dyDescent="0.2">
      <c r="A221" s="69">
        <v>2018</v>
      </c>
      <c r="B221" s="69">
        <v>4</v>
      </c>
      <c r="C221" s="69">
        <v>10</v>
      </c>
      <c r="D221" s="69">
        <v>4</v>
      </c>
      <c r="E221" s="69">
        <v>0</v>
      </c>
      <c r="F221" s="69">
        <v>0</v>
      </c>
      <c r="G221" s="69">
        <v>273.2</v>
      </c>
      <c r="H221">
        <f t="shared" si="3"/>
        <v>2.7319999999999998</v>
      </c>
    </row>
    <row r="222" spans="1:8" x14ac:dyDescent="0.2">
      <c r="A222" s="69">
        <v>2018</v>
      </c>
      <c r="B222" s="69">
        <v>4</v>
      </c>
      <c r="C222" s="69">
        <v>10</v>
      </c>
      <c r="D222">
        <v>5</v>
      </c>
      <c r="E222" s="69">
        <v>0</v>
      </c>
      <c r="F222" s="69">
        <v>0</v>
      </c>
      <c r="G222" s="69">
        <v>279.07499999999999</v>
      </c>
      <c r="H222">
        <f t="shared" si="3"/>
        <v>2.7907500000000001</v>
      </c>
    </row>
    <row r="223" spans="1:8" x14ac:dyDescent="0.2">
      <c r="A223" s="69">
        <v>2018</v>
      </c>
      <c r="B223" s="69">
        <v>4</v>
      </c>
      <c r="C223" s="69">
        <v>10</v>
      </c>
      <c r="D223" s="69">
        <v>6</v>
      </c>
      <c r="E223" s="69">
        <v>0</v>
      </c>
      <c r="F223" s="69">
        <v>0</v>
      </c>
      <c r="G223" s="69">
        <v>277.7</v>
      </c>
      <c r="H223">
        <f t="shared" si="3"/>
        <v>2.7769999999999997</v>
      </c>
    </row>
    <row r="224" spans="1:8" x14ac:dyDescent="0.2">
      <c r="A224" s="69">
        <v>2018</v>
      </c>
      <c r="B224" s="69">
        <v>4</v>
      </c>
      <c r="C224" s="69">
        <v>10</v>
      </c>
      <c r="D224">
        <v>7</v>
      </c>
      <c r="E224" s="69">
        <v>0</v>
      </c>
      <c r="F224" s="69">
        <v>0</v>
      </c>
      <c r="G224" s="69">
        <v>270.375</v>
      </c>
      <c r="H224">
        <f t="shared" si="3"/>
        <v>2.7037499999999999</v>
      </c>
    </row>
    <row r="225" spans="1:8" x14ac:dyDescent="0.2">
      <c r="A225" s="69">
        <v>2018</v>
      </c>
      <c r="B225" s="69">
        <v>4</v>
      </c>
      <c r="C225" s="69">
        <v>10</v>
      </c>
      <c r="D225" s="69">
        <v>8</v>
      </c>
      <c r="E225" s="69">
        <v>0</v>
      </c>
      <c r="F225" s="69">
        <v>0</v>
      </c>
      <c r="G225" s="69">
        <v>258.75000000000011</v>
      </c>
      <c r="H225">
        <f t="shared" si="3"/>
        <v>2.5875000000000012</v>
      </c>
    </row>
    <row r="226" spans="1:8" x14ac:dyDescent="0.2">
      <c r="A226" s="69">
        <v>2018</v>
      </c>
      <c r="B226" s="69">
        <v>4</v>
      </c>
      <c r="C226" s="69">
        <v>10</v>
      </c>
      <c r="D226">
        <v>9</v>
      </c>
      <c r="E226" s="69">
        <v>0</v>
      </c>
      <c r="F226" s="69">
        <v>0</v>
      </c>
      <c r="G226" s="69">
        <v>244.55</v>
      </c>
      <c r="H226">
        <f t="shared" si="3"/>
        <v>2.4455</v>
      </c>
    </row>
    <row r="227" spans="1:8" x14ac:dyDescent="0.2">
      <c r="A227" s="69">
        <v>2018</v>
      </c>
      <c r="B227" s="69">
        <v>4</v>
      </c>
      <c r="C227" s="69">
        <v>10</v>
      </c>
      <c r="D227" s="69">
        <v>10</v>
      </c>
      <c r="E227" s="69">
        <v>0</v>
      </c>
      <c r="F227" s="69">
        <v>0</v>
      </c>
      <c r="G227" s="69">
        <v>235.57499999999999</v>
      </c>
      <c r="H227">
        <f t="shared" si="3"/>
        <v>2.35575</v>
      </c>
    </row>
    <row r="228" spans="1:8" x14ac:dyDescent="0.2">
      <c r="A228" s="69">
        <v>2018</v>
      </c>
      <c r="B228" s="69">
        <v>4</v>
      </c>
      <c r="C228" s="69">
        <v>10</v>
      </c>
      <c r="D228">
        <v>11</v>
      </c>
      <c r="E228" s="69">
        <v>0</v>
      </c>
      <c r="F228" s="69">
        <v>0</v>
      </c>
      <c r="G228" s="69">
        <v>226.95</v>
      </c>
      <c r="H228">
        <f t="shared" si="3"/>
        <v>2.2694999999999999</v>
      </c>
    </row>
    <row r="229" spans="1:8" x14ac:dyDescent="0.2">
      <c r="A229" s="69">
        <v>2018</v>
      </c>
      <c r="B229" s="69">
        <v>4</v>
      </c>
      <c r="C229" s="69">
        <v>10</v>
      </c>
      <c r="D229" s="69">
        <v>12</v>
      </c>
      <c r="E229" s="69">
        <v>0</v>
      </c>
      <c r="F229" s="69">
        <v>0</v>
      </c>
      <c r="G229" s="69">
        <v>228.25</v>
      </c>
      <c r="H229">
        <f t="shared" si="3"/>
        <v>2.2825000000000002</v>
      </c>
    </row>
    <row r="230" spans="1:8" x14ac:dyDescent="0.2">
      <c r="A230" s="69">
        <v>2018</v>
      </c>
      <c r="B230" s="69">
        <v>4</v>
      </c>
      <c r="C230" s="69">
        <v>10</v>
      </c>
      <c r="D230">
        <v>13</v>
      </c>
      <c r="E230" s="69">
        <v>0</v>
      </c>
      <c r="F230" s="69">
        <v>0</v>
      </c>
      <c r="G230" s="69">
        <v>232.95</v>
      </c>
      <c r="H230">
        <f t="shared" si="3"/>
        <v>2.3294999999999999</v>
      </c>
    </row>
    <row r="231" spans="1:8" x14ac:dyDescent="0.2">
      <c r="A231" s="69">
        <v>2018</v>
      </c>
      <c r="B231" s="69">
        <v>4</v>
      </c>
      <c r="C231" s="69">
        <v>10</v>
      </c>
      <c r="D231" s="69">
        <v>14</v>
      </c>
      <c r="E231" s="69">
        <v>0</v>
      </c>
      <c r="F231" s="69">
        <v>0</v>
      </c>
      <c r="G231" s="69">
        <v>243.375</v>
      </c>
      <c r="H231">
        <f t="shared" si="3"/>
        <v>2.4337499999999999</v>
      </c>
    </row>
    <row r="232" spans="1:8" x14ac:dyDescent="0.2">
      <c r="A232" s="69">
        <v>2018</v>
      </c>
      <c r="B232" s="69">
        <v>4</v>
      </c>
      <c r="C232" s="69">
        <v>10</v>
      </c>
      <c r="D232">
        <v>15</v>
      </c>
      <c r="E232" s="69">
        <v>0</v>
      </c>
      <c r="F232" s="69">
        <v>0</v>
      </c>
      <c r="G232" s="69">
        <v>258</v>
      </c>
      <c r="H232">
        <f t="shared" si="3"/>
        <v>2.58</v>
      </c>
    </row>
    <row r="233" spans="1:8" x14ac:dyDescent="0.2">
      <c r="A233" s="69">
        <v>2018</v>
      </c>
      <c r="B233" s="69">
        <v>4</v>
      </c>
      <c r="C233" s="69">
        <v>10</v>
      </c>
      <c r="D233" s="69">
        <v>16</v>
      </c>
      <c r="E233" s="69">
        <v>0</v>
      </c>
      <c r="F233" s="69">
        <v>0</v>
      </c>
      <c r="G233" s="69">
        <v>273.02499999999998</v>
      </c>
      <c r="H233">
        <f t="shared" si="3"/>
        <v>2.7302499999999998</v>
      </c>
    </row>
    <row r="234" spans="1:8" x14ac:dyDescent="0.2">
      <c r="A234" s="69">
        <v>2018</v>
      </c>
      <c r="B234" s="69">
        <v>4</v>
      </c>
      <c r="C234" s="69">
        <v>10</v>
      </c>
      <c r="D234">
        <v>17</v>
      </c>
      <c r="E234" s="69">
        <v>0</v>
      </c>
      <c r="F234" s="69">
        <v>0</v>
      </c>
      <c r="G234" s="69">
        <v>284.05000000000013</v>
      </c>
      <c r="H234">
        <f t="shared" si="3"/>
        <v>2.8405000000000014</v>
      </c>
    </row>
    <row r="235" spans="1:8" x14ac:dyDescent="0.2">
      <c r="A235" s="69">
        <v>2018</v>
      </c>
      <c r="B235" s="69">
        <v>4</v>
      </c>
      <c r="C235" s="69">
        <v>10</v>
      </c>
      <c r="D235" s="69">
        <v>18</v>
      </c>
      <c r="E235" s="69">
        <v>0</v>
      </c>
      <c r="F235" s="69">
        <v>0</v>
      </c>
      <c r="G235" s="69">
        <v>287.64999999999998</v>
      </c>
      <c r="H235">
        <f t="shared" si="3"/>
        <v>2.8764999999999996</v>
      </c>
    </row>
    <row r="236" spans="1:8" x14ac:dyDescent="0.2">
      <c r="A236" s="69">
        <v>2018</v>
      </c>
      <c r="B236" s="69">
        <v>4</v>
      </c>
      <c r="C236" s="69">
        <v>10</v>
      </c>
      <c r="D236">
        <v>19</v>
      </c>
      <c r="E236" s="69">
        <v>0</v>
      </c>
      <c r="F236" s="69">
        <v>0</v>
      </c>
      <c r="G236" s="69">
        <v>282.375</v>
      </c>
      <c r="H236">
        <f t="shared" si="3"/>
        <v>2.82375</v>
      </c>
    </row>
    <row r="237" spans="1:8" x14ac:dyDescent="0.2">
      <c r="A237" s="69">
        <v>2018</v>
      </c>
      <c r="B237" s="69">
        <v>4</v>
      </c>
      <c r="C237" s="69">
        <v>10</v>
      </c>
      <c r="D237" s="69">
        <v>20</v>
      </c>
      <c r="E237" s="69">
        <v>0</v>
      </c>
      <c r="F237" s="69">
        <v>0</v>
      </c>
      <c r="G237" s="69">
        <v>271</v>
      </c>
      <c r="H237">
        <f t="shared" si="3"/>
        <v>2.71</v>
      </c>
    </row>
    <row r="238" spans="1:8" x14ac:dyDescent="0.2">
      <c r="A238" s="69">
        <v>2018</v>
      </c>
      <c r="B238" s="69">
        <v>4</v>
      </c>
      <c r="C238" s="69">
        <v>10</v>
      </c>
      <c r="D238">
        <v>21</v>
      </c>
      <c r="E238" s="69">
        <v>0</v>
      </c>
      <c r="F238" s="69">
        <v>0</v>
      </c>
      <c r="G238" s="69">
        <v>256.39999999999998</v>
      </c>
      <c r="H238">
        <f t="shared" si="3"/>
        <v>2.5639999999999996</v>
      </c>
    </row>
    <row r="239" spans="1:8" x14ac:dyDescent="0.2">
      <c r="A239" s="69">
        <v>2018</v>
      </c>
      <c r="B239" s="69">
        <v>4</v>
      </c>
      <c r="C239" s="69">
        <v>10</v>
      </c>
      <c r="D239" s="69">
        <v>22</v>
      </c>
      <c r="E239" s="69">
        <v>0</v>
      </c>
      <c r="F239" s="69">
        <v>0</v>
      </c>
      <c r="G239" s="69">
        <v>243.1</v>
      </c>
      <c r="H239">
        <f t="shared" si="3"/>
        <v>2.431</v>
      </c>
    </row>
    <row r="240" spans="1:8" x14ac:dyDescent="0.2">
      <c r="A240" s="69">
        <v>2018</v>
      </c>
      <c r="B240" s="69">
        <v>4</v>
      </c>
      <c r="C240" s="69">
        <v>10</v>
      </c>
      <c r="D240">
        <v>23</v>
      </c>
      <c r="E240" s="69">
        <v>0</v>
      </c>
      <c r="F240" s="69">
        <v>0</v>
      </c>
      <c r="G240" s="69">
        <v>232.57499999999999</v>
      </c>
      <c r="H240">
        <f t="shared" si="3"/>
        <v>2.3257499999999998</v>
      </c>
    </row>
    <row r="241" spans="1:8" x14ac:dyDescent="0.2">
      <c r="A241" s="69">
        <v>2018</v>
      </c>
      <c r="B241" s="69">
        <v>4</v>
      </c>
      <c r="C241" s="69">
        <v>11</v>
      </c>
      <c r="D241" s="69">
        <v>0</v>
      </c>
      <c r="E241" s="69">
        <v>0</v>
      </c>
      <c r="F241" s="69">
        <v>0</v>
      </c>
      <c r="G241" s="69">
        <v>232</v>
      </c>
      <c r="H241">
        <f t="shared" si="3"/>
        <v>2.3199999999999998</v>
      </c>
    </row>
    <row r="242" spans="1:8" x14ac:dyDescent="0.2">
      <c r="A242" s="69">
        <v>2018</v>
      </c>
      <c r="B242" s="69">
        <v>4</v>
      </c>
      <c r="C242" s="69">
        <v>11</v>
      </c>
      <c r="D242">
        <v>1</v>
      </c>
      <c r="E242" s="69">
        <v>0</v>
      </c>
      <c r="F242" s="69">
        <v>0</v>
      </c>
      <c r="G242" s="69">
        <v>235.9</v>
      </c>
      <c r="H242">
        <f t="shared" si="3"/>
        <v>2.359</v>
      </c>
    </row>
    <row r="243" spans="1:8" x14ac:dyDescent="0.2">
      <c r="A243" s="69">
        <v>2018</v>
      </c>
      <c r="B243" s="69">
        <v>4</v>
      </c>
      <c r="C243" s="69">
        <v>11</v>
      </c>
      <c r="D243" s="69">
        <v>2</v>
      </c>
      <c r="E243" s="69">
        <v>0</v>
      </c>
      <c r="F243" s="69">
        <v>0</v>
      </c>
      <c r="G243" s="69">
        <v>246.32499999999999</v>
      </c>
      <c r="H243">
        <f t="shared" si="3"/>
        <v>2.4632499999999999</v>
      </c>
    </row>
    <row r="244" spans="1:8" x14ac:dyDescent="0.2">
      <c r="A244" s="69">
        <v>2018</v>
      </c>
      <c r="B244" s="69">
        <v>4</v>
      </c>
      <c r="C244" s="69">
        <v>11</v>
      </c>
      <c r="D244">
        <v>3</v>
      </c>
      <c r="E244" s="69">
        <v>0</v>
      </c>
      <c r="F244" s="69">
        <v>0</v>
      </c>
      <c r="G244" s="69">
        <v>260.85000000000002</v>
      </c>
      <c r="H244">
        <f t="shared" si="3"/>
        <v>2.6085000000000003</v>
      </c>
    </row>
    <row r="245" spans="1:8" x14ac:dyDescent="0.2">
      <c r="A245" s="69">
        <v>2018</v>
      </c>
      <c r="B245" s="69">
        <v>4</v>
      </c>
      <c r="C245" s="69">
        <v>11</v>
      </c>
      <c r="D245" s="69">
        <v>4</v>
      </c>
      <c r="E245" s="69">
        <v>0</v>
      </c>
      <c r="F245" s="69">
        <v>0</v>
      </c>
      <c r="G245" s="69">
        <v>272.2</v>
      </c>
      <c r="H245">
        <f t="shared" si="3"/>
        <v>2.722</v>
      </c>
    </row>
    <row r="246" spans="1:8" x14ac:dyDescent="0.2">
      <c r="A246" s="69">
        <v>2018</v>
      </c>
      <c r="B246" s="69">
        <v>4</v>
      </c>
      <c r="C246" s="69">
        <v>11</v>
      </c>
      <c r="D246">
        <v>5</v>
      </c>
      <c r="E246" s="69">
        <v>0</v>
      </c>
      <c r="F246" s="69">
        <v>0</v>
      </c>
      <c r="G246" s="69">
        <v>281.64999999999998</v>
      </c>
      <c r="H246">
        <f t="shared" si="3"/>
        <v>2.8164999999999996</v>
      </c>
    </row>
    <row r="247" spans="1:8" x14ac:dyDescent="0.2">
      <c r="A247" s="69">
        <v>2018</v>
      </c>
      <c r="B247" s="69">
        <v>4</v>
      </c>
      <c r="C247" s="69">
        <v>11</v>
      </c>
      <c r="D247" s="69">
        <v>6</v>
      </c>
      <c r="E247" s="69">
        <v>0</v>
      </c>
      <c r="F247" s="69">
        <v>0</v>
      </c>
      <c r="G247" s="69">
        <v>282.625</v>
      </c>
      <c r="H247">
        <f t="shared" si="3"/>
        <v>2.8262499999999999</v>
      </c>
    </row>
    <row r="248" spans="1:8" x14ac:dyDescent="0.2">
      <c r="A248" s="69">
        <v>2018</v>
      </c>
      <c r="B248" s="69">
        <v>4</v>
      </c>
      <c r="C248" s="69">
        <v>11</v>
      </c>
      <c r="D248">
        <v>7</v>
      </c>
      <c r="E248" s="69">
        <v>0</v>
      </c>
      <c r="F248" s="69">
        <v>0</v>
      </c>
      <c r="G248" s="69">
        <v>279.875</v>
      </c>
      <c r="H248">
        <f t="shared" si="3"/>
        <v>2.7987500000000001</v>
      </c>
    </row>
    <row r="249" spans="1:8" x14ac:dyDescent="0.2">
      <c r="A249" s="69">
        <v>2018</v>
      </c>
      <c r="B249" s="69">
        <v>4</v>
      </c>
      <c r="C249" s="69">
        <v>11</v>
      </c>
      <c r="D249" s="69">
        <v>8</v>
      </c>
      <c r="E249" s="69">
        <v>0</v>
      </c>
      <c r="F249" s="69">
        <v>0</v>
      </c>
      <c r="G249" s="69">
        <v>271.875</v>
      </c>
      <c r="H249">
        <f t="shared" si="3"/>
        <v>2.71875</v>
      </c>
    </row>
    <row r="250" spans="1:8" x14ac:dyDescent="0.2">
      <c r="A250" s="69">
        <v>2018</v>
      </c>
      <c r="B250" s="69">
        <v>4</v>
      </c>
      <c r="C250" s="69">
        <v>11</v>
      </c>
      <c r="D250">
        <v>9</v>
      </c>
      <c r="E250" s="69">
        <v>0</v>
      </c>
      <c r="F250" s="69">
        <v>0</v>
      </c>
      <c r="G250" s="69">
        <v>262.82499999999999</v>
      </c>
      <c r="H250">
        <f t="shared" si="3"/>
        <v>2.62825</v>
      </c>
    </row>
    <row r="251" spans="1:8" x14ac:dyDescent="0.2">
      <c r="A251" s="69">
        <v>2018</v>
      </c>
      <c r="B251" s="69">
        <v>4</v>
      </c>
      <c r="C251" s="69">
        <v>11</v>
      </c>
      <c r="D251" s="69">
        <v>10</v>
      </c>
      <c r="E251" s="69">
        <v>0</v>
      </c>
      <c r="F251" s="69">
        <v>0</v>
      </c>
      <c r="G251" s="69">
        <v>251.25</v>
      </c>
      <c r="H251">
        <f t="shared" si="3"/>
        <v>2.5125000000000002</v>
      </c>
    </row>
    <row r="252" spans="1:8" x14ac:dyDescent="0.2">
      <c r="A252" s="69">
        <v>2018</v>
      </c>
      <c r="B252" s="69">
        <v>4</v>
      </c>
      <c r="C252" s="69">
        <v>11</v>
      </c>
      <c r="D252">
        <v>11</v>
      </c>
      <c r="E252" s="69">
        <v>0</v>
      </c>
      <c r="F252" s="69">
        <v>0</v>
      </c>
      <c r="G252" s="69">
        <v>242.42500000000001</v>
      </c>
      <c r="H252">
        <f t="shared" si="3"/>
        <v>2.4242500000000002</v>
      </c>
    </row>
    <row r="253" spans="1:8" x14ac:dyDescent="0.2">
      <c r="A253" s="69">
        <v>2018</v>
      </c>
      <c r="B253" s="69">
        <v>4</v>
      </c>
      <c r="C253" s="69">
        <v>11</v>
      </c>
      <c r="D253" s="69">
        <v>12</v>
      </c>
      <c r="E253" s="69">
        <v>0</v>
      </c>
      <c r="F253" s="69">
        <v>0</v>
      </c>
      <c r="G253" s="69">
        <v>244.1</v>
      </c>
      <c r="H253">
        <f t="shared" si="3"/>
        <v>2.4409999999999998</v>
      </c>
    </row>
    <row r="254" spans="1:8" x14ac:dyDescent="0.2">
      <c r="A254" s="69">
        <v>2018</v>
      </c>
      <c r="B254" s="69">
        <v>4</v>
      </c>
      <c r="C254" s="69">
        <v>11</v>
      </c>
      <c r="D254">
        <v>13</v>
      </c>
      <c r="E254" s="69">
        <v>0</v>
      </c>
      <c r="F254" s="69">
        <v>0</v>
      </c>
      <c r="G254" s="69">
        <v>245.9</v>
      </c>
      <c r="H254">
        <f t="shared" si="3"/>
        <v>2.4590000000000001</v>
      </c>
    </row>
    <row r="255" spans="1:8" x14ac:dyDescent="0.2">
      <c r="A255" s="69">
        <v>2018</v>
      </c>
      <c r="B255" s="69">
        <v>4</v>
      </c>
      <c r="C255" s="69">
        <v>11</v>
      </c>
      <c r="D255" s="69">
        <v>14</v>
      </c>
      <c r="E255" s="69">
        <v>0</v>
      </c>
      <c r="F255" s="69">
        <v>0</v>
      </c>
      <c r="G255" s="69">
        <v>256.60000000000008</v>
      </c>
      <c r="H255">
        <f t="shared" si="3"/>
        <v>2.5660000000000007</v>
      </c>
    </row>
    <row r="256" spans="1:8" x14ac:dyDescent="0.2">
      <c r="A256" s="69">
        <v>2018</v>
      </c>
      <c r="B256" s="69">
        <v>4</v>
      </c>
      <c r="C256" s="69">
        <v>11</v>
      </c>
      <c r="D256">
        <v>15</v>
      </c>
      <c r="E256" s="69">
        <v>0</v>
      </c>
      <c r="F256" s="69">
        <v>0</v>
      </c>
      <c r="G256" s="69">
        <v>267.39999999999998</v>
      </c>
      <c r="H256">
        <f t="shared" si="3"/>
        <v>2.6739999999999999</v>
      </c>
    </row>
    <row r="257" spans="1:8" x14ac:dyDescent="0.2">
      <c r="A257" s="69">
        <v>2018</v>
      </c>
      <c r="B257" s="69">
        <v>4</v>
      </c>
      <c r="C257" s="69">
        <v>11</v>
      </c>
      <c r="D257" s="69">
        <v>16</v>
      </c>
      <c r="E257" s="69">
        <v>0</v>
      </c>
      <c r="F257" s="69">
        <v>0</v>
      </c>
      <c r="G257" s="69">
        <v>279.2</v>
      </c>
      <c r="H257">
        <f t="shared" ref="H257:H320" si="4">G257/100</f>
        <v>2.7919999999999998</v>
      </c>
    </row>
    <row r="258" spans="1:8" x14ac:dyDescent="0.2">
      <c r="A258" s="69">
        <v>2018</v>
      </c>
      <c r="B258" s="69">
        <v>4</v>
      </c>
      <c r="C258" s="69">
        <v>11</v>
      </c>
      <c r="D258">
        <v>17</v>
      </c>
      <c r="E258" s="69">
        <v>0</v>
      </c>
      <c r="F258" s="69">
        <v>0</v>
      </c>
      <c r="G258" s="69">
        <v>287.07499999999999</v>
      </c>
      <c r="H258">
        <f t="shared" si="4"/>
        <v>2.8707499999999997</v>
      </c>
    </row>
    <row r="259" spans="1:8" x14ac:dyDescent="0.2">
      <c r="A259" s="69">
        <v>2018</v>
      </c>
      <c r="B259" s="69">
        <v>4</v>
      </c>
      <c r="C259" s="69">
        <v>11</v>
      </c>
      <c r="D259" s="69">
        <v>18</v>
      </c>
      <c r="E259" s="69">
        <v>0</v>
      </c>
      <c r="F259" s="69">
        <v>0</v>
      </c>
      <c r="G259" s="69">
        <v>292.89999999999998</v>
      </c>
      <c r="H259">
        <f t="shared" si="4"/>
        <v>2.9289999999999998</v>
      </c>
    </row>
    <row r="260" spans="1:8" x14ac:dyDescent="0.2">
      <c r="A260" s="69">
        <v>2018</v>
      </c>
      <c r="B260" s="69">
        <v>4</v>
      </c>
      <c r="C260" s="69">
        <v>11</v>
      </c>
      <c r="D260">
        <v>19</v>
      </c>
      <c r="E260" s="69">
        <v>0</v>
      </c>
      <c r="F260" s="69">
        <v>0</v>
      </c>
      <c r="G260" s="69">
        <v>290.97500000000002</v>
      </c>
      <c r="H260">
        <f t="shared" si="4"/>
        <v>2.9097500000000003</v>
      </c>
    </row>
    <row r="261" spans="1:8" x14ac:dyDescent="0.2">
      <c r="A261" s="69">
        <v>2018</v>
      </c>
      <c r="B261" s="69">
        <v>4</v>
      </c>
      <c r="C261" s="69">
        <v>11</v>
      </c>
      <c r="D261" s="69">
        <v>20</v>
      </c>
      <c r="E261" s="69">
        <v>0</v>
      </c>
      <c r="F261" s="69">
        <v>0</v>
      </c>
      <c r="G261" s="69">
        <v>282.67500000000013</v>
      </c>
      <c r="H261">
        <f t="shared" si="4"/>
        <v>2.8267500000000014</v>
      </c>
    </row>
    <row r="262" spans="1:8" x14ac:dyDescent="0.2">
      <c r="A262" s="69">
        <v>2018</v>
      </c>
      <c r="B262" s="69">
        <v>4</v>
      </c>
      <c r="C262" s="69">
        <v>11</v>
      </c>
      <c r="D262">
        <v>21</v>
      </c>
      <c r="E262" s="69">
        <v>0</v>
      </c>
      <c r="F262" s="69">
        <v>0</v>
      </c>
      <c r="G262" s="69">
        <v>272.75</v>
      </c>
      <c r="H262">
        <f t="shared" si="4"/>
        <v>2.7275</v>
      </c>
    </row>
    <row r="263" spans="1:8" x14ac:dyDescent="0.2">
      <c r="A263" s="69">
        <v>2018</v>
      </c>
      <c r="B263" s="69">
        <v>4</v>
      </c>
      <c r="C263" s="69">
        <v>11</v>
      </c>
      <c r="D263" s="69">
        <v>22</v>
      </c>
      <c r="E263" s="69">
        <v>0</v>
      </c>
      <c r="F263" s="69">
        <v>0</v>
      </c>
      <c r="G263" s="69">
        <v>258.72500000000002</v>
      </c>
      <c r="H263">
        <f t="shared" si="4"/>
        <v>2.58725</v>
      </c>
    </row>
    <row r="264" spans="1:8" x14ac:dyDescent="0.2">
      <c r="A264" s="69">
        <v>2018</v>
      </c>
      <c r="B264" s="69">
        <v>4</v>
      </c>
      <c r="C264" s="69">
        <v>11</v>
      </c>
      <c r="D264">
        <v>23</v>
      </c>
      <c r="E264" s="69">
        <v>0</v>
      </c>
      <c r="F264" s="69">
        <v>0</v>
      </c>
      <c r="G264" s="69">
        <v>248.625</v>
      </c>
      <c r="H264">
        <f t="shared" si="4"/>
        <v>2.4862500000000001</v>
      </c>
    </row>
    <row r="265" spans="1:8" x14ac:dyDescent="0.2">
      <c r="A265" s="69">
        <v>2018</v>
      </c>
      <c r="B265" s="69">
        <v>4</v>
      </c>
      <c r="C265" s="69">
        <v>12</v>
      </c>
      <c r="D265" s="69">
        <v>0</v>
      </c>
      <c r="E265" s="69">
        <v>0</v>
      </c>
      <c r="F265" s="69">
        <v>0</v>
      </c>
      <c r="G265" s="69">
        <v>245.47499999999999</v>
      </c>
      <c r="H265">
        <f t="shared" si="4"/>
        <v>2.4547499999999998</v>
      </c>
    </row>
    <row r="266" spans="1:8" x14ac:dyDescent="0.2">
      <c r="A266" s="69">
        <v>2018</v>
      </c>
      <c r="B266" s="69">
        <v>4</v>
      </c>
      <c r="C266" s="69">
        <v>12</v>
      </c>
      <c r="D266">
        <v>1</v>
      </c>
      <c r="E266" s="69">
        <v>0</v>
      </c>
      <c r="F266" s="69">
        <v>0</v>
      </c>
      <c r="G266" s="69">
        <v>247.65000000000009</v>
      </c>
      <c r="H266">
        <f t="shared" si="4"/>
        <v>2.476500000000001</v>
      </c>
    </row>
    <row r="267" spans="1:8" x14ac:dyDescent="0.2">
      <c r="A267" s="69">
        <v>2018</v>
      </c>
      <c r="B267" s="69">
        <v>4</v>
      </c>
      <c r="C267" s="69">
        <v>12</v>
      </c>
      <c r="D267" s="69">
        <v>2</v>
      </c>
      <c r="E267" s="69">
        <v>0</v>
      </c>
      <c r="F267" s="69">
        <v>0</v>
      </c>
      <c r="G267" s="69">
        <v>256.27499999999998</v>
      </c>
      <c r="H267">
        <f t="shared" si="4"/>
        <v>2.5627499999999999</v>
      </c>
    </row>
    <row r="268" spans="1:8" x14ac:dyDescent="0.2">
      <c r="A268" s="69">
        <v>2018</v>
      </c>
      <c r="B268" s="69">
        <v>4</v>
      </c>
      <c r="C268" s="69">
        <v>12</v>
      </c>
      <c r="D268">
        <v>3</v>
      </c>
      <c r="E268" s="69">
        <v>0</v>
      </c>
      <c r="F268" s="69">
        <v>0</v>
      </c>
      <c r="G268" s="69">
        <v>267.52499999999998</v>
      </c>
      <c r="H268">
        <f t="shared" si="4"/>
        <v>2.6752499999999997</v>
      </c>
    </row>
    <row r="269" spans="1:8" x14ac:dyDescent="0.2">
      <c r="A269" s="69">
        <v>2018</v>
      </c>
      <c r="B269" s="69">
        <v>4</v>
      </c>
      <c r="C269" s="69">
        <v>12</v>
      </c>
      <c r="D269" s="69">
        <v>4</v>
      </c>
      <c r="E269" s="69">
        <v>0</v>
      </c>
      <c r="F269" s="69">
        <v>0</v>
      </c>
      <c r="G269" s="69">
        <v>278.85000000000002</v>
      </c>
      <c r="H269">
        <f t="shared" si="4"/>
        <v>2.7885000000000004</v>
      </c>
    </row>
    <row r="270" spans="1:8" x14ac:dyDescent="0.2">
      <c r="A270" s="69">
        <v>2018</v>
      </c>
      <c r="B270" s="69">
        <v>4</v>
      </c>
      <c r="C270" s="69">
        <v>12</v>
      </c>
      <c r="D270">
        <v>5</v>
      </c>
      <c r="E270" s="69">
        <v>0</v>
      </c>
      <c r="F270" s="69">
        <v>0</v>
      </c>
      <c r="G270" s="69">
        <v>289.25</v>
      </c>
      <c r="H270">
        <f t="shared" si="4"/>
        <v>2.8925000000000001</v>
      </c>
    </row>
    <row r="271" spans="1:8" x14ac:dyDescent="0.2">
      <c r="A271" s="69">
        <v>2018</v>
      </c>
      <c r="B271" s="69">
        <v>4</v>
      </c>
      <c r="C271" s="69">
        <v>12</v>
      </c>
      <c r="D271" s="69">
        <v>6</v>
      </c>
      <c r="E271" s="69">
        <v>0</v>
      </c>
      <c r="F271" s="69">
        <v>0</v>
      </c>
      <c r="G271" s="69">
        <v>294.125</v>
      </c>
      <c r="H271">
        <f t="shared" si="4"/>
        <v>2.9412500000000001</v>
      </c>
    </row>
    <row r="272" spans="1:8" x14ac:dyDescent="0.2">
      <c r="A272" s="69">
        <v>2018</v>
      </c>
      <c r="B272" s="69">
        <v>4</v>
      </c>
      <c r="C272" s="69">
        <v>12</v>
      </c>
      <c r="D272">
        <v>7</v>
      </c>
      <c r="E272" s="69">
        <v>0</v>
      </c>
      <c r="F272" s="69">
        <v>0</v>
      </c>
      <c r="G272" s="69">
        <v>293.02499999999998</v>
      </c>
      <c r="H272">
        <f t="shared" si="4"/>
        <v>2.9302499999999996</v>
      </c>
    </row>
    <row r="273" spans="1:8" x14ac:dyDescent="0.2">
      <c r="A273" s="69">
        <v>2018</v>
      </c>
      <c r="B273" s="69">
        <v>4</v>
      </c>
      <c r="C273" s="69">
        <v>12</v>
      </c>
      <c r="D273" s="69">
        <v>8</v>
      </c>
      <c r="E273" s="69">
        <v>0</v>
      </c>
      <c r="F273" s="69">
        <v>0</v>
      </c>
      <c r="G273" s="69">
        <v>286.10000000000002</v>
      </c>
      <c r="H273">
        <f t="shared" si="4"/>
        <v>2.8610000000000002</v>
      </c>
    </row>
    <row r="274" spans="1:8" x14ac:dyDescent="0.2">
      <c r="A274" s="69">
        <v>2018</v>
      </c>
      <c r="B274" s="69">
        <v>4</v>
      </c>
      <c r="C274" s="69">
        <v>12</v>
      </c>
      <c r="D274">
        <v>9</v>
      </c>
      <c r="E274" s="69">
        <v>0</v>
      </c>
      <c r="F274" s="69">
        <v>0</v>
      </c>
      <c r="G274" s="69">
        <v>276.32499999999999</v>
      </c>
      <c r="H274">
        <f t="shared" si="4"/>
        <v>2.7632499999999998</v>
      </c>
    </row>
    <row r="275" spans="1:8" x14ac:dyDescent="0.2">
      <c r="A275" s="69">
        <v>2018</v>
      </c>
      <c r="B275" s="69">
        <v>4</v>
      </c>
      <c r="C275" s="69">
        <v>12</v>
      </c>
      <c r="D275" s="69">
        <v>10</v>
      </c>
      <c r="E275" s="69">
        <v>0</v>
      </c>
      <c r="F275" s="69">
        <v>0</v>
      </c>
      <c r="G275" s="69">
        <v>259.22500000000002</v>
      </c>
      <c r="H275">
        <f t="shared" si="4"/>
        <v>2.5922500000000004</v>
      </c>
    </row>
    <row r="276" spans="1:8" x14ac:dyDescent="0.2">
      <c r="A276" s="69">
        <v>2018</v>
      </c>
      <c r="B276" s="69">
        <v>4</v>
      </c>
      <c r="C276" s="69">
        <v>12</v>
      </c>
      <c r="D276">
        <v>11</v>
      </c>
      <c r="E276" s="69">
        <v>0</v>
      </c>
      <c r="F276" s="69">
        <v>0</v>
      </c>
      <c r="G276" s="69">
        <v>250.95</v>
      </c>
      <c r="H276">
        <f t="shared" si="4"/>
        <v>2.5095000000000001</v>
      </c>
    </row>
    <row r="277" spans="1:8" x14ac:dyDescent="0.2">
      <c r="A277" s="69">
        <v>2018</v>
      </c>
      <c r="B277" s="69">
        <v>4</v>
      </c>
      <c r="C277" s="69">
        <v>12</v>
      </c>
      <c r="D277" s="69">
        <v>12</v>
      </c>
      <c r="E277" s="69">
        <v>0</v>
      </c>
      <c r="F277" s="69">
        <v>0</v>
      </c>
      <c r="G277" s="69">
        <v>247.90000000000009</v>
      </c>
      <c r="H277">
        <f t="shared" si="4"/>
        <v>2.479000000000001</v>
      </c>
    </row>
    <row r="278" spans="1:8" x14ac:dyDescent="0.2">
      <c r="A278" s="69">
        <v>2018</v>
      </c>
      <c r="B278" s="69">
        <v>4</v>
      </c>
      <c r="C278" s="69">
        <v>12</v>
      </c>
      <c r="D278">
        <v>13</v>
      </c>
      <c r="E278" s="69">
        <v>0</v>
      </c>
      <c r="F278" s="69">
        <v>0</v>
      </c>
      <c r="G278" s="69">
        <v>246.92500000000001</v>
      </c>
      <c r="H278">
        <f t="shared" si="4"/>
        <v>2.4692500000000002</v>
      </c>
    </row>
    <row r="279" spans="1:8" x14ac:dyDescent="0.2">
      <c r="A279" s="69">
        <v>2018</v>
      </c>
      <c r="B279" s="69">
        <v>4</v>
      </c>
      <c r="C279" s="69">
        <v>12</v>
      </c>
      <c r="D279" s="69">
        <v>14</v>
      </c>
      <c r="E279" s="69">
        <v>0</v>
      </c>
      <c r="F279" s="69">
        <v>0</v>
      </c>
      <c r="G279" s="69">
        <v>254.05</v>
      </c>
      <c r="H279">
        <f t="shared" si="4"/>
        <v>2.5405000000000002</v>
      </c>
    </row>
    <row r="280" spans="1:8" x14ac:dyDescent="0.2">
      <c r="A280" s="69">
        <v>2018</v>
      </c>
      <c r="B280" s="69">
        <v>4</v>
      </c>
      <c r="C280" s="69">
        <v>12</v>
      </c>
      <c r="D280">
        <v>15</v>
      </c>
      <c r="E280" s="69">
        <v>0</v>
      </c>
      <c r="F280" s="69">
        <v>0</v>
      </c>
      <c r="G280" s="69">
        <v>263.92500000000001</v>
      </c>
      <c r="H280">
        <f t="shared" si="4"/>
        <v>2.6392500000000001</v>
      </c>
    </row>
    <row r="281" spans="1:8" x14ac:dyDescent="0.2">
      <c r="A281" s="69">
        <v>2018</v>
      </c>
      <c r="B281" s="69">
        <v>4</v>
      </c>
      <c r="C281" s="69">
        <v>12</v>
      </c>
      <c r="D281" s="69">
        <v>16</v>
      </c>
      <c r="E281" s="69">
        <v>0</v>
      </c>
      <c r="F281" s="69">
        <v>0</v>
      </c>
      <c r="G281" s="69">
        <v>271.75</v>
      </c>
      <c r="H281">
        <f t="shared" si="4"/>
        <v>2.7174999999999998</v>
      </c>
    </row>
    <row r="282" spans="1:8" x14ac:dyDescent="0.2">
      <c r="A282" s="69">
        <v>2018</v>
      </c>
      <c r="B282" s="69">
        <v>4</v>
      </c>
      <c r="C282" s="69">
        <v>12</v>
      </c>
      <c r="D282">
        <v>17</v>
      </c>
      <c r="E282" s="69">
        <v>0</v>
      </c>
      <c r="F282" s="69">
        <v>0</v>
      </c>
      <c r="G282" s="69">
        <v>279.07499999999999</v>
      </c>
      <c r="H282">
        <f t="shared" si="4"/>
        <v>2.7907500000000001</v>
      </c>
    </row>
    <row r="283" spans="1:8" x14ac:dyDescent="0.2">
      <c r="A283" s="69">
        <v>2018</v>
      </c>
      <c r="B283" s="69">
        <v>4</v>
      </c>
      <c r="C283" s="69">
        <v>12</v>
      </c>
      <c r="D283" s="69">
        <v>18</v>
      </c>
      <c r="E283" s="69">
        <v>0</v>
      </c>
      <c r="F283" s="69">
        <v>0</v>
      </c>
      <c r="G283" s="69">
        <v>283.625</v>
      </c>
      <c r="H283">
        <f t="shared" si="4"/>
        <v>2.8362500000000002</v>
      </c>
    </row>
    <row r="284" spans="1:8" x14ac:dyDescent="0.2">
      <c r="A284" s="69">
        <v>2018</v>
      </c>
      <c r="B284" s="69">
        <v>4</v>
      </c>
      <c r="C284" s="69">
        <v>12</v>
      </c>
      <c r="D284">
        <v>19</v>
      </c>
      <c r="E284" s="69">
        <v>0</v>
      </c>
      <c r="F284" s="69">
        <v>0</v>
      </c>
      <c r="G284" s="69">
        <v>286.97500000000002</v>
      </c>
      <c r="H284">
        <f t="shared" si="4"/>
        <v>2.8697500000000002</v>
      </c>
    </row>
    <row r="285" spans="1:8" x14ac:dyDescent="0.2">
      <c r="A285" s="69">
        <v>2018</v>
      </c>
      <c r="B285" s="69">
        <v>4</v>
      </c>
      <c r="C285" s="69">
        <v>12</v>
      </c>
      <c r="D285" s="69">
        <v>20</v>
      </c>
      <c r="E285" s="69">
        <v>0</v>
      </c>
      <c r="F285" s="69">
        <v>0</v>
      </c>
      <c r="G285" s="69">
        <v>279.47500000000002</v>
      </c>
      <c r="H285">
        <f t="shared" si="4"/>
        <v>2.7947500000000001</v>
      </c>
    </row>
    <row r="286" spans="1:8" x14ac:dyDescent="0.2">
      <c r="A286" s="69">
        <v>2018</v>
      </c>
      <c r="B286" s="69">
        <v>4</v>
      </c>
      <c r="C286" s="69">
        <v>12</v>
      </c>
      <c r="D286">
        <v>21</v>
      </c>
      <c r="E286" s="69">
        <v>0</v>
      </c>
      <c r="F286" s="69">
        <v>0</v>
      </c>
      <c r="G286" s="69">
        <v>270.82499999999999</v>
      </c>
      <c r="H286">
        <f t="shared" si="4"/>
        <v>2.70825</v>
      </c>
    </row>
    <row r="287" spans="1:8" x14ac:dyDescent="0.2">
      <c r="A287" s="69">
        <v>2018</v>
      </c>
      <c r="B287" s="69">
        <v>4</v>
      </c>
      <c r="C287" s="69">
        <v>12</v>
      </c>
      <c r="D287" s="69">
        <v>22</v>
      </c>
      <c r="E287" s="69">
        <v>0</v>
      </c>
      <c r="F287" s="69">
        <v>0</v>
      </c>
      <c r="G287" s="69">
        <v>260.35000000000002</v>
      </c>
      <c r="H287">
        <f t="shared" si="4"/>
        <v>2.6035000000000004</v>
      </c>
    </row>
    <row r="288" spans="1:8" x14ac:dyDescent="0.2">
      <c r="A288" s="69">
        <v>2018</v>
      </c>
      <c r="B288" s="69">
        <v>4</v>
      </c>
      <c r="C288" s="69">
        <v>12</v>
      </c>
      <c r="D288">
        <v>23</v>
      </c>
      <c r="E288" s="69">
        <v>0</v>
      </c>
      <c r="F288" s="69">
        <v>0</v>
      </c>
      <c r="G288" s="69">
        <v>250.67500000000001</v>
      </c>
      <c r="H288">
        <f t="shared" si="4"/>
        <v>2.5067500000000003</v>
      </c>
    </row>
    <row r="289" spans="1:8" x14ac:dyDescent="0.2">
      <c r="A289" s="69">
        <v>2018</v>
      </c>
      <c r="B289" s="69">
        <v>4</v>
      </c>
      <c r="C289" s="69">
        <v>13</v>
      </c>
      <c r="D289" s="69">
        <v>0</v>
      </c>
      <c r="E289" s="69">
        <v>0</v>
      </c>
      <c r="F289" s="69">
        <v>0</v>
      </c>
      <c r="G289" s="69">
        <v>240.75</v>
      </c>
      <c r="H289">
        <f t="shared" si="4"/>
        <v>2.4075000000000002</v>
      </c>
    </row>
    <row r="290" spans="1:8" x14ac:dyDescent="0.2">
      <c r="A290" s="69">
        <v>2018</v>
      </c>
      <c r="B290" s="69">
        <v>4</v>
      </c>
      <c r="C290" s="69">
        <v>13</v>
      </c>
      <c r="D290">
        <v>1</v>
      </c>
      <c r="E290" s="69">
        <v>0</v>
      </c>
      <c r="F290" s="69">
        <v>0</v>
      </c>
      <c r="G290" s="69">
        <v>239.9</v>
      </c>
      <c r="H290">
        <f t="shared" si="4"/>
        <v>2.399</v>
      </c>
    </row>
    <row r="291" spans="1:8" x14ac:dyDescent="0.2">
      <c r="A291" s="69">
        <v>2018</v>
      </c>
      <c r="B291" s="69">
        <v>4</v>
      </c>
      <c r="C291" s="69">
        <v>13</v>
      </c>
      <c r="D291" s="69">
        <v>2</v>
      </c>
      <c r="E291" s="69">
        <v>0</v>
      </c>
      <c r="F291" s="69">
        <v>0</v>
      </c>
      <c r="G291" s="69">
        <v>241.625</v>
      </c>
      <c r="H291">
        <f t="shared" si="4"/>
        <v>2.4162499999999998</v>
      </c>
    </row>
    <row r="292" spans="1:8" x14ac:dyDescent="0.2">
      <c r="A292" s="69">
        <v>2018</v>
      </c>
      <c r="B292" s="69">
        <v>4</v>
      </c>
      <c r="C292" s="69">
        <v>13</v>
      </c>
      <c r="D292">
        <v>3</v>
      </c>
      <c r="E292" s="69">
        <v>0</v>
      </c>
      <c r="F292" s="69">
        <v>0</v>
      </c>
      <c r="G292" s="69">
        <v>248.05</v>
      </c>
      <c r="H292">
        <f t="shared" si="4"/>
        <v>2.4805000000000001</v>
      </c>
    </row>
    <row r="293" spans="1:8" x14ac:dyDescent="0.2">
      <c r="A293" s="69">
        <v>2018</v>
      </c>
      <c r="B293" s="69">
        <v>4</v>
      </c>
      <c r="C293" s="69">
        <v>13</v>
      </c>
      <c r="D293" s="69">
        <v>4</v>
      </c>
      <c r="E293" s="69">
        <v>0</v>
      </c>
      <c r="F293" s="69">
        <v>0</v>
      </c>
      <c r="G293" s="69">
        <v>257.82499999999999</v>
      </c>
      <c r="H293">
        <f t="shared" si="4"/>
        <v>2.5782499999999997</v>
      </c>
    </row>
    <row r="294" spans="1:8" x14ac:dyDescent="0.2">
      <c r="A294" s="69">
        <v>2018</v>
      </c>
      <c r="B294" s="69">
        <v>4</v>
      </c>
      <c r="C294" s="69">
        <v>13</v>
      </c>
      <c r="D294">
        <v>5</v>
      </c>
      <c r="E294" s="69">
        <v>0</v>
      </c>
      <c r="F294" s="69">
        <v>0</v>
      </c>
      <c r="G294" s="69">
        <v>265.45</v>
      </c>
      <c r="H294">
        <f t="shared" si="4"/>
        <v>2.6545000000000001</v>
      </c>
    </row>
    <row r="295" spans="1:8" x14ac:dyDescent="0.2">
      <c r="A295" s="69">
        <v>2018</v>
      </c>
      <c r="B295" s="69">
        <v>4</v>
      </c>
      <c r="C295" s="69">
        <v>13</v>
      </c>
      <c r="D295" s="69">
        <v>6</v>
      </c>
      <c r="E295" s="69">
        <v>0</v>
      </c>
      <c r="F295" s="69">
        <v>0</v>
      </c>
      <c r="G295" s="69">
        <v>272.77499999999998</v>
      </c>
      <c r="H295">
        <f t="shared" si="4"/>
        <v>2.7277499999999999</v>
      </c>
    </row>
    <row r="296" spans="1:8" x14ac:dyDescent="0.2">
      <c r="A296" s="69">
        <v>2018</v>
      </c>
      <c r="B296" s="69">
        <v>4</v>
      </c>
      <c r="C296" s="69">
        <v>13</v>
      </c>
      <c r="D296">
        <v>7</v>
      </c>
      <c r="E296" s="69">
        <v>0</v>
      </c>
      <c r="F296" s="69">
        <v>0</v>
      </c>
      <c r="G296" s="69">
        <v>269.64999999999998</v>
      </c>
      <c r="H296">
        <f t="shared" si="4"/>
        <v>2.6964999999999999</v>
      </c>
    </row>
    <row r="297" spans="1:8" x14ac:dyDescent="0.2">
      <c r="A297" s="69">
        <v>2018</v>
      </c>
      <c r="B297" s="69">
        <v>4</v>
      </c>
      <c r="C297" s="69">
        <v>13</v>
      </c>
      <c r="D297" s="69">
        <v>8</v>
      </c>
      <c r="E297" s="69">
        <v>0</v>
      </c>
      <c r="F297" s="69">
        <v>0</v>
      </c>
      <c r="G297" s="69">
        <v>265.60000000000002</v>
      </c>
      <c r="H297">
        <f t="shared" si="4"/>
        <v>2.6560000000000001</v>
      </c>
    </row>
    <row r="298" spans="1:8" x14ac:dyDescent="0.2">
      <c r="A298" s="69">
        <v>2018</v>
      </c>
      <c r="B298" s="69">
        <v>4</v>
      </c>
      <c r="C298" s="69">
        <v>13</v>
      </c>
      <c r="D298">
        <v>9</v>
      </c>
      <c r="E298" s="69">
        <v>0</v>
      </c>
      <c r="F298" s="69">
        <v>0</v>
      </c>
      <c r="G298" s="69">
        <v>259.00000000000011</v>
      </c>
      <c r="H298">
        <f t="shared" si="4"/>
        <v>2.5900000000000012</v>
      </c>
    </row>
    <row r="299" spans="1:8" x14ac:dyDescent="0.2">
      <c r="A299" s="69">
        <v>2018</v>
      </c>
      <c r="B299" s="69">
        <v>4</v>
      </c>
      <c r="C299" s="69">
        <v>13</v>
      </c>
      <c r="D299" s="69">
        <v>10</v>
      </c>
      <c r="E299" s="69">
        <v>0</v>
      </c>
      <c r="F299" s="69">
        <v>0</v>
      </c>
      <c r="G299" s="69">
        <v>252.55</v>
      </c>
      <c r="H299">
        <f t="shared" si="4"/>
        <v>2.5255000000000001</v>
      </c>
    </row>
    <row r="300" spans="1:8" x14ac:dyDescent="0.2">
      <c r="A300" s="69">
        <v>2018</v>
      </c>
      <c r="B300" s="69">
        <v>4</v>
      </c>
      <c r="C300" s="69">
        <v>13</v>
      </c>
      <c r="D300">
        <v>11</v>
      </c>
      <c r="E300" s="69">
        <v>0</v>
      </c>
      <c r="F300" s="69">
        <v>0</v>
      </c>
      <c r="G300" s="69">
        <v>246</v>
      </c>
      <c r="H300">
        <f t="shared" si="4"/>
        <v>2.46</v>
      </c>
    </row>
    <row r="301" spans="1:8" x14ac:dyDescent="0.2">
      <c r="A301" s="69">
        <v>2018</v>
      </c>
      <c r="B301" s="69">
        <v>4</v>
      </c>
      <c r="C301" s="69">
        <v>13</v>
      </c>
      <c r="D301" s="69">
        <v>12</v>
      </c>
      <c r="E301" s="69">
        <v>0</v>
      </c>
      <c r="F301" s="69">
        <v>0</v>
      </c>
      <c r="G301" s="69">
        <v>243.77500000000001</v>
      </c>
      <c r="H301">
        <f t="shared" si="4"/>
        <v>2.4377499999999999</v>
      </c>
    </row>
    <row r="302" spans="1:8" x14ac:dyDescent="0.2">
      <c r="A302" s="69">
        <v>2018</v>
      </c>
      <c r="B302" s="69">
        <v>4</v>
      </c>
      <c r="C302" s="69">
        <v>13</v>
      </c>
      <c r="D302">
        <v>13</v>
      </c>
      <c r="E302" s="69">
        <v>0</v>
      </c>
      <c r="F302" s="69">
        <v>0</v>
      </c>
      <c r="G302" s="69">
        <v>243.95</v>
      </c>
      <c r="H302">
        <f t="shared" si="4"/>
        <v>2.4394999999999998</v>
      </c>
    </row>
    <row r="303" spans="1:8" x14ac:dyDescent="0.2">
      <c r="A303" s="69">
        <v>2018</v>
      </c>
      <c r="B303" s="69">
        <v>4</v>
      </c>
      <c r="C303" s="69">
        <v>13</v>
      </c>
      <c r="D303" s="69">
        <v>14</v>
      </c>
      <c r="E303" s="69">
        <v>0</v>
      </c>
      <c r="F303" s="69">
        <v>0</v>
      </c>
      <c r="G303" s="69">
        <v>246.75</v>
      </c>
      <c r="H303">
        <f t="shared" si="4"/>
        <v>2.4674999999999998</v>
      </c>
    </row>
    <row r="304" spans="1:8" x14ac:dyDescent="0.2">
      <c r="A304" s="69">
        <v>2018</v>
      </c>
      <c r="B304" s="69">
        <v>4</v>
      </c>
      <c r="C304" s="69">
        <v>13</v>
      </c>
      <c r="D304">
        <v>15</v>
      </c>
      <c r="E304" s="69">
        <v>0</v>
      </c>
      <c r="F304" s="69">
        <v>0</v>
      </c>
      <c r="G304" s="69">
        <v>255.17500000000001</v>
      </c>
      <c r="H304">
        <f t="shared" si="4"/>
        <v>2.5517500000000002</v>
      </c>
    </row>
    <row r="305" spans="1:8" x14ac:dyDescent="0.2">
      <c r="A305" s="69">
        <v>2018</v>
      </c>
      <c r="B305" s="69">
        <v>4</v>
      </c>
      <c r="C305" s="69">
        <v>13</v>
      </c>
      <c r="D305" s="69">
        <v>16</v>
      </c>
      <c r="E305" s="69">
        <v>0</v>
      </c>
      <c r="F305" s="69">
        <v>0</v>
      </c>
      <c r="G305" s="69">
        <v>266.875</v>
      </c>
      <c r="H305">
        <f t="shared" si="4"/>
        <v>2.6687500000000002</v>
      </c>
    </row>
    <row r="306" spans="1:8" x14ac:dyDescent="0.2">
      <c r="A306" s="69">
        <v>2018</v>
      </c>
      <c r="B306" s="69">
        <v>4</v>
      </c>
      <c r="C306" s="69">
        <v>13</v>
      </c>
      <c r="D306">
        <v>17</v>
      </c>
      <c r="E306" s="69">
        <v>0</v>
      </c>
      <c r="F306" s="69">
        <v>0</v>
      </c>
      <c r="G306" s="69">
        <v>274.60000000000002</v>
      </c>
      <c r="H306">
        <f t="shared" si="4"/>
        <v>2.7460000000000004</v>
      </c>
    </row>
    <row r="307" spans="1:8" x14ac:dyDescent="0.2">
      <c r="A307" s="69">
        <v>2018</v>
      </c>
      <c r="B307" s="69">
        <v>4</v>
      </c>
      <c r="C307" s="69">
        <v>13</v>
      </c>
      <c r="D307" s="69">
        <v>18</v>
      </c>
      <c r="E307" s="69">
        <v>0</v>
      </c>
      <c r="F307" s="69">
        <v>0</v>
      </c>
      <c r="G307" s="69">
        <v>281.82499999999999</v>
      </c>
      <c r="H307">
        <f t="shared" si="4"/>
        <v>2.8182499999999999</v>
      </c>
    </row>
    <row r="308" spans="1:8" x14ac:dyDescent="0.2">
      <c r="A308" s="69">
        <v>2018</v>
      </c>
      <c r="B308" s="69">
        <v>4</v>
      </c>
      <c r="C308" s="69">
        <v>13</v>
      </c>
      <c r="D308">
        <v>19</v>
      </c>
      <c r="E308" s="69">
        <v>0</v>
      </c>
      <c r="F308" s="69">
        <v>0</v>
      </c>
      <c r="G308" s="69">
        <v>283.64999999999998</v>
      </c>
      <c r="H308">
        <f t="shared" si="4"/>
        <v>2.8364999999999996</v>
      </c>
    </row>
    <row r="309" spans="1:8" x14ac:dyDescent="0.2">
      <c r="A309" s="69">
        <v>2018</v>
      </c>
      <c r="B309" s="69">
        <v>4</v>
      </c>
      <c r="C309" s="69">
        <v>13</v>
      </c>
      <c r="D309" s="69">
        <v>20</v>
      </c>
      <c r="E309" s="69">
        <v>0</v>
      </c>
      <c r="F309" s="69">
        <v>0</v>
      </c>
      <c r="G309" s="69">
        <v>281.00000000000011</v>
      </c>
      <c r="H309">
        <f t="shared" si="4"/>
        <v>2.8100000000000009</v>
      </c>
    </row>
    <row r="310" spans="1:8" x14ac:dyDescent="0.2">
      <c r="A310" s="69">
        <v>2018</v>
      </c>
      <c r="B310" s="69">
        <v>4</v>
      </c>
      <c r="C310" s="69">
        <v>13</v>
      </c>
      <c r="D310">
        <v>21</v>
      </c>
      <c r="E310" s="69">
        <v>0</v>
      </c>
      <c r="F310" s="69">
        <v>0</v>
      </c>
      <c r="G310" s="69">
        <v>274.92500000000001</v>
      </c>
      <c r="H310">
        <f t="shared" si="4"/>
        <v>2.74925</v>
      </c>
    </row>
    <row r="311" spans="1:8" x14ac:dyDescent="0.2">
      <c r="A311" s="69">
        <v>2018</v>
      </c>
      <c r="B311" s="69">
        <v>4</v>
      </c>
      <c r="C311" s="69">
        <v>13</v>
      </c>
      <c r="D311" s="69">
        <v>22</v>
      </c>
      <c r="E311" s="69">
        <v>0</v>
      </c>
      <c r="F311" s="69">
        <v>0</v>
      </c>
      <c r="G311" s="69">
        <v>263.8</v>
      </c>
      <c r="H311">
        <f t="shared" si="4"/>
        <v>2.6379999999999999</v>
      </c>
    </row>
    <row r="312" spans="1:8" x14ac:dyDescent="0.2">
      <c r="A312" s="69">
        <v>2018</v>
      </c>
      <c r="B312" s="69">
        <v>4</v>
      </c>
      <c r="C312" s="69">
        <v>13</v>
      </c>
      <c r="D312">
        <v>23</v>
      </c>
      <c r="E312" s="69">
        <v>0</v>
      </c>
      <c r="F312" s="69">
        <v>0</v>
      </c>
      <c r="G312" s="69">
        <v>253.92500000000001</v>
      </c>
      <c r="H312">
        <f t="shared" si="4"/>
        <v>2.53925</v>
      </c>
    </row>
    <row r="313" spans="1:8" x14ac:dyDescent="0.2">
      <c r="A313" s="69">
        <v>2018</v>
      </c>
      <c r="B313" s="69">
        <v>4</v>
      </c>
      <c r="C313" s="69">
        <v>14</v>
      </c>
      <c r="D313" s="69">
        <v>0</v>
      </c>
      <c r="E313" s="69">
        <v>0</v>
      </c>
      <c r="F313" s="69">
        <v>0</v>
      </c>
      <c r="G313" s="69">
        <v>246.97499999999999</v>
      </c>
      <c r="H313">
        <f t="shared" si="4"/>
        <v>2.4697499999999999</v>
      </c>
    </row>
    <row r="314" spans="1:8" x14ac:dyDescent="0.2">
      <c r="A314" s="69">
        <v>2018</v>
      </c>
      <c r="B314" s="69">
        <v>4</v>
      </c>
      <c r="C314" s="69">
        <v>14</v>
      </c>
      <c r="D314">
        <v>1</v>
      </c>
      <c r="E314" s="69">
        <v>0</v>
      </c>
      <c r="F314" s="69">
        <v>0</v>
      </c>
      <c r="G314" s="69">
        <v>240.02500000000001</v>
      </c>
      <c r="H314">
        <f t="shared" si="4"/>
        <v>2.4002500000000002</v>
      </c>
    </row>
    <row r="315" spans="1:8" x14ac:dyDescent="0.2">
      <c r="A315" s="69">
        <v>2018</v>
      </c>
      <c r="B315" s="69">
        <v>4</v>
      </c>
      <c r="C315" s="69">
        <v>14</v>
      </c>
      <c r="D315" s="69">
        <v>2</v>
      </c>
      <c r="E315" s="69">
        <v>0</v>
      </c>
      <c r="F315" s="69">
        <v>0</v>
      </c>
      <c r="G315" s="69">
        <v>242.07499999999999</v>
      </c>
      <c r="H315">
        <f t="shared" si="4"/>
        <v>2.42075</v>
      </c>
    </row>
    <row r="316" spans="1:8" x14ac:dyDescent="0.2">
      <c r="A316" s="69">
        <v>2018</v>
      </c>
      <c r="B316" s="69">
        <v>4</v>
      </c>
      <c r="C316" s="69">
        <v>14</v>
      </c>
      <c r="D316">
        <v>3</v>
      </c>
      <c r="E316" s="69">
        <v>0</v>
      </c>
      <c r="F316" s="69">
        <v>0</v>
      </c>
      <c r="G316" s="69">
        <v>246.875</v>
      </c>
      <c r="H316">
        <f t="shared" si="4"/>
        <v>2.46875</v>
      </c>
    </row>
    <row r="317" spans="1:8" x14ac:dyDescent="0.2">
      <c r="A317" s="69">
        <v>2018</v>
      </c>
      <c r="B317" s="69">
        <v>4</v>
      </c>
      <c r="C317" s="69">
        <v>14</v>
      </c>
      <c r="D317" s="69">
        <v>4</v>
      </c>
      <c r="E317" s="69">
        <v>0</v>
      </c>
      <c r="F317" s="69">
        <v>0</v>
      </c>
      <c r="G317" s="69">
        <v>254.9</v>
      </c>
      <c r="H317">
        <f t="shared" si="4"/>
        <v>2.5489999999999999</v>
      </c>
    </row>
    <row r="318" spans="1:8" x14ac:dyDescent="0.2">
      <c r="A318" s="69">
        <v>2018</v>
      </c>
      <c r="B318" s="69">
        <v>4</v>
      </c>
      <c r="C318" s="69">
        <v>14</v>
      </c>
      <c r="D318">
        <v>5</v>
      </c>
      <c r="E318" s="69">
        <v>0</v>
      </c>
      <c r="F318" s="69">
        <v>0</v>
      </c>
      <c r="G318" s="69">
        <v>262.39999999999998</v>
      </c>
      <c r="H318">
        <f t="shared" si="4"/>
        <v>2.6239999999999997</v>
      </c>
    </row>
    <row r="319" spans="1:8" x14ac:dyDescent="0.2">
      <c r="A319" s="69">
        <v>2018</v>
      </c>
      <c r="B319" s="69">
        <v>4</v>
      </c>
      <c r="C319" s="69">
        <v>14</v>
      </c>
      <c r="D319" s="69">
        <v>6</v>
      </c>
      <c r="E319" s="69">
        <v>0</v>
      </c>
      <c r="F319" s="69">
        <v>0</v>
      </c>
      <c r="G319" s="69">
        <v>268.89999999999998</v>
      </c>
      <c r="H319">
        <f t="shared" si="4"/>
        <v>2.6889999999999996</v>
      </c>
    </row>
    <row r="320" spans="1:8" x14ac:dyDescent="0.2">
      <c r="A320" s="69">
        <v>2018</v>
      </c>
      <c r="B320" s="69">
        <v>4</v>
      </c>
      <c r="C320" s="69">
        <v>14</v>
      </c>
      <c r="D320">
        <v>7</v>
      </c>
      <c r="E320" s="69">
        <v>0</v>
      </c>
      <c r="F320" s="69">
        <v>0</v>
      </c>
      <c r="G320" s="69">
        <v>272.95</v>
      </c>
      <c r="H320">
        <f t="shared" si="4"/>
        <v>2.7294999999999998</v>
      </c>
    </row>
    <row r="321" spans="1:8" x14ac:dyDescent="0.2">
      <c r="A321" s="69">
        <v>2018</v>
      </c>
      <c r="B321" s="69">
        <v>4</v>
      </c>
      <c r="C321" s="69">
        <v>14</v>
      </c>
      <c r="D321" s="69">
        <v>8</v>
      </c>
      <c r="E321" s="69">
        <v>0</v>
      </c>
      <c r="F321" s="69">
        <v>0</v>
      </c>
      <c r="G321" s="69">
        <v>271.25</v>
      </c>
      <c r="H321">
        <f t="shared" ref="H321:H360" si="5">G321/100</f>
        <v>2.7124999999999999</v>
      </c>
    </row>
    <row r="322" spans="1:8" x14ac:dyDescent="0.2">
      <c r="A322" s="69">
        <v>2018</v>
      </c>
      <c r="B322" s="69">
        <v>4</v>
      </c>
      <c r="C322" s="69">
        <v>14</v>
      </c>
      <c r="D322">
        <v>9</v>
      </c>
      <c r="E322" s="69">
        <v>0</v>
      </c>
      <c r="F322" s="69">
        <v>0</v>
      </c>
      <c r="G322" s="69">
        <v>265.92500000000001</v>
      </c>
      <c r="H322">
        <f t="shared" si="5"/>
        <v>2.6592500000000001</v>
      </c>
    </row>
    <row r="323" spans="1:8" x14ac:dyDescent="0.2">
      <c r="A323" s="69">
        <v>2018</v>
      </c>
      <c r="B323" s="69">
        <v>4</v>
      </c>
      <c r="C323" s="69">
        <v>14</v>
      </c>
      <c r="D323" s="69">
        <v>10</v>
      </c>
      <c r="E323" s="69">
        <v>0</v>
      </c>
      <c r="F323" s="69">
        <v>0</v>
      </c>
      <c r="G323" s="69">
        <v>262.77499999999998</v>
      </c>
      <c r="H323">
        <f t="shared" si="5"/>
        <v>2.6277499999999998</v>
      </c>
    </row>
    <row r="324" spans="1:8" x14ac:dyDescent="0.2">
      <c r="A324" s="69">
        <v>2018</v>
      </c>
      <c r="B324" s="69">
        <v>4</v>
      </c>
      <c r="C324" s="69">
        <v>14</v>
      </c>
      <c r="D324">
        <v>11</v>
      </c>
      <c r="E324" s="69">
        <v>0</v>
      </c>
      <c r="F324" s="69">
        <v>0</v>
      </c>
      <c r="G324" s="69">
        <v>258.8</v>
      </c>
      <c r="H324">
        <f t="shared" si="5"/>
        <v>2.5880000000000001</v>
      </c>
    </row>
    <row r="325" spans="1:8" x14ac:dyDescent="0.2">
      <c r="A325" s="69">
        <v>2018</v>
      </c>
      <c r="B325" s="69">
        <v>4</v>
      </c>
      <c r="C325" s="69">
        <v>14</v>
      </c>
      <c r="D325" s="69">
        <v>12</v>
      </c>
      <c r="E325" s="69">
        <v>0</v>
      </c>
      <c r="F325" s="69">
        <v>0</v>
      </c>
      <c r="G325" s="69">
        <v>254.07499999999999</v>
      </c>
      <c r="H325">
        <f t="shared" si="5"/>
        <v>2.5407500000000001</v>
      </c>
    </row>
    <row r="326" spans="1:8" x14ac:dyDescent="0.2">
      <c r="A326" s="69">
        <v>2018</v>
      </c>
      <c r="B326" s="69">
        <v>4</v>
      </c>
      <c r="C326" s="69">
        <v>14</v>
      </c>
      <c r="D326">
        <v>13</v>
      </c>
      <c r="E326" s="69">
        <v>0</v>
      </c>
      <c r="F326" s="69">
        <v>0</v>
      </c>
      <c r="G326" s="69">
        <v>252.77500000000001</v>
      </c>
      <c r="H326">
        <f t="shared" si="5"/>
        <v>2.5277500000000002</v>
      </c>
    </row>
    <row r="327" spans="1:8" x14ac:dyDescent="0.2">
      <c r="A327" s="69">
        <v>2018</v>
      </c>
      <c r="B327" s="69">
        <v>4</v>
      </c>
      <c r="C327" s="69">
        <v>14</v>
      </c>
      <c r="D327" s="69">
        <v>14</v>
      </c>
      <c r="E327" s="69">
        <v>0</v>
      </c>
      <c r="F327" s="69">
        <v>0</v>
      </c>
      <c r="G327" s="69">
        <v>252.92500000000001</v>
      </c>
      <c r="H327">
        <f t="shared" si="5"/>
        <v>2.5292500000000002</v>
      </c>
    </row>
    <row r="328" spans="1:8" x14ac:dyDescent="0.2">
      <c r="A328" s="69">
        <v>2018</v>
      </c>
      <c r="B328" s="69">
        <v>4</v>
      </c>
      <c r="C328" s="69">
        <v>14</v>
      </c>
      <c r="D328">
        <v>15</v>
      </c>
      <c r="E328" s="69">
        <v>0</v>
      </c>
      <c r="F328" s="69">
        <v>0</v>
      </c>
      <c r="G328" s="69">
        <v>258.57499999999999</v>
      </c>
      <c r="H328">
        <f t="shared" si="5"/>
        <v>2.58575</v>
      </c>
    </row>
    <row r="329" spans="1:8" x14ac:dyDescent="0.2">
      <c r="A329" s="69">
        <v>2018</v>
      </c>
      <c r="B329" s="69">
        <v>4</v>
      </c>
      <c r="C329" s="69">
        <v>14</v>
      </c>
      <c r="D329" s="69">
        <v>16</v>
      </c>
      <c r="E329" s="69">
        <v>0</v>
      </c>
      <c r="F329" s="69">
        <v>0</v>
      </c>
      <c r="G329" s="69">
        <v>267.3</v>
      </c>
      <c r="H329">
        <f t="shared" si="5"/>
        <v>2.673</v>
      </c>
    </row>
    <row r="330" spans="1:8" x14ac:dyDescent="0.2">
      <c r="A330" s="69">
        <v>2018</v>
      </c>
      <c r="B330" s="69">
        <v>4</v>
      </c>
      <c r="C330" s="69">
        <v>14</v>
      </c>
      <c r="D330">
        <v>17</v>
      </c>
      <c r="E330" s="69">
        <v>0</v>
      </c>
      <c r="F330" s="69">
        <v>0</v>
      </c>
      <c r="G330" s="69">
        <v>275.85000000000002</v>
      </c>
      <c r="H330">
        <f t="shared" si="5"/>
        <v>2.7585000000000002</v>
      </c>
    </row>
    <row r="331" spans="1:8" x14ac:dyDescent="0.2">
      <c r="A331" s="69">
        <v>2018</v>
      </c>
      <c r="B331" s="69">
        <v>4</v>
      </c>
      <c r="C331" s="69">
        <v>14</v>
      </c>
      <c r="D331" s="69">
        <v>18</v>
      </c>
      <c r="E331" s="69">
        <v>0</v>
      </c>
      <c r="F331" s="69">
        <v>0</v>
      </c>
      <c r="G331" s="69">
        <v>282.25</v>
      </c>
      <c r="H331">
        <f t="shared" si="5"/>
        <v>2.8224999999999998</v>
      </c>
    </row>
    <row r="332" spans="1:8" x14ac:dyDescent="0.2">
      <c r="A332" s="69">
        <v>2018</v>
      </c>
      <c r="B332" s="69">
        <v>4</v>
      </c>
      <c r="C332" s="69">
        <v>14</v>
      </c>
      <c r="D332">
        <v>19</v>
      </c>
      <c r="E332" s="69">
        <v>0</v>
      </c>
      <c r="F332" s="69">
        <v>0</v>
      </c>
      <c r="G332" s="69">
        <v>284.02499999999998</v>
      </c>
      <c r="H332">
        <f t="shared" si="5"/>
        <v>2.8402499999999997</v>
      </c>
    </row>
    <row r="333" spans="1:8" x14ac:dyDescent="0.2">
      <c r="A333" s="69">
        <v>2018</v>
      </c>
      <c r="B333" s="69">
        <v>4</v>
      </c>
      <c r="C333" s="69">
        <v>14</v>
      </c>
      <c r="D333" s="69">
        <v>20</v>
      </c>
      <c r="E333" s="69">
        <v>0</v>
      </c>
      <c r="F333" s="69">
        <v>0</v>
      </c>
      <c r="G333" s="69">
        <v>282.89999999999998</v>
      </c>
      <c r="H333">
        <f t="shared" si="5"/>
        <v>2.8289999999999997</v>
      </c>
    </row>
    <row r="334" spans="1:8" x14ac:dyDescent="0.2">
      <c r="A334" s="69">
        <v>2018</v>
      </c>
      <c r="B334" s="69">
        <v>4</v>
      </c>
      <c r="C334" s="69">
        <v>14</v>
      </c>
      <c r="D334">
        <v>21</v>
      </c>
      <c r="E334" s="69">
        <v>0</v>
      </c>
      <c r="F334" s="69">
        <v>0</v>
      </c>
      <c r="G334" s="69">
        <v>278.5</v>
      </c>
      <c r="H334">
        <f t="shared" si="5"/>
        <v>2.7850000000000001</v>
      </c>
    </row>
    <row r="335" spans="1:8" x14ac:dyDescent="0.2">
      <c r="A335" s="69">
        <v>2018</v>
      </c>
      <c r="B335" s="69">
        <v>4</v>
      </c>
      <c r="C335" s="69">
        <v>14</v>
      </c>
      <c r="D335" s="69">
        <v>22</v>
      </c>
      <c r="E335" s="69">
        <v>0</v>
      </c>
      <c r="F335" s="69">
        <v>0</v>
      </c>
      <c r="G335" s="69">
        <v>273.55</v>
      </c>
      <c r="H335">
        <f t="shared" si="5"/>
        <v>2.7355</v>
      </c>
    </row>
    <row r="336" spans="1:8" x14ac:dyDescent="0.2">
      <c r="A336" s="69">
        <v>2018</v>
      </c>
      <c r="B336" s="69">
        <v>4</v>
      </c>
      <c r="C336" s="69">
        <v>14</v>
      </c>
      <c r="D336">
        <v>23</v>
      </c>
      <c r="E336" s="69">
        <v>0</v>
      </c>
      <c r="F336" s="69">
        <v>0</v>
      </c>
      <c r="G336" s="69">
        <v>263.07499999999999</v>
      </c>
      <c r="H336">
        <f t="shared" si="5"/>
        <v>2.6307499999999999</v>
      </c>
    </row>
    <row r="337" spans="1:8" x14ac:dyDescent="0.2">
      <c r="A337" s="69">
        <v>2018</v>
      </c>
      <c r="B337" s="69">
        <v>4</v>
      </c>
      <c r="C337" s="69">
        <v>15</v>
      </c>
      <c r="D337" s="69">
        <v>0</v>
      </c>
      <c r="E337" s="69">
        <v>0</v>
      </c>
      <c r="F337" s="69">
        <v>0</v>
      </c>
      <c r="G337" s="69">
        <v>253.60000000000011</v>
      </c>
      <c r="H337">
        <f t="shared" si="5"/>
        <v>2.5360000000000009</v>
      </c>
    </row>
    <row r="338" spans="1:8" x14ac:dyDescent="0.2">
      <c r="A338" s="69">
        <v>2018</v>
      </c>
      <c r="B338" s="69">
        <v>4</v>
      </c>
      <c r="C338" s="69">
        <v>15</v>
      </c>
      <c r="D338">
        <v>1</v>
      </c>
      <c r="E338" s="69">
        <v>0</v>
      </c>
      <c r="F338" s="69">
        <v>0</v>
      </c>
      <c r="G338" s="69">
        <v>248.1</v>
      </c>
      <c r="H338">
        <f t="shared" si="5"/>
        <v>2.4809999999999999</v>
      </c>
    </row>
    <row r="339" spans="1:8" x14ac:dyDescent="0.2">
      <c r="A339" s="69">
        <v>2018</v>
      </c>
      <c r="B339" s="69">
        <v>4</v>
      </c>
      <c r="C339" s="69">
        <v>15</v>
      </c>
      <c r="D339" s="69">
        <v>2</v>
      </c>
      <c r="E339" s="69">
        <v>0</v>
      </c>
      <c r="F339" s="69">
        <v>0</v>
      </c>
      <c r="G339" s="69">
        <v>241.4</v>
      </c>
      <c r="H339">
        <f t="shared" si="5"/>
        <v>2.4140000000000001</v>
      </c>
    </row>
    <row r="340" spans="1:8" x14ac:dyDescent="0.2">
      <c r="A340" s="69">
        <v>2018</v>
      </c>
      <c r="B340" s="69">
        <v>4</v>
      </c>
      <c r="C340" s="69">
        <v>15</v>
      </c>
      <c r="D340">
        <v>3</v>
      </c>
      <c r="E340" s="69">
        <v>0</v>
      </c>
      <c r="F340" s="69">
        <v>0</v>
      </c>
      <c r="G340" s="69">
        <v>242.52500000000001</v>
      </c>
      <c r="H340">
        <f t="shared" si="5"/>
        <v>2.4252500000000001</v>
      </c>
    </row>
    <row r="341" spans="1:8" x14ac:dyDescent="0.2">
      <c r="A341" s="69">
        <v>2018</v>
      </c>
      <c r="B341" s="69">
        <v>4</v>
      </c>
      <c r="C341" s="69">
        <v>15</v>
      </c>
      <c r="D341" s="69">
        <v>4</v>
      </c>
      <c r="E341" s="69">
        <v>0</v>
      </c>
      <c r="F341" s="69">
        <v>0</v>
      </c>
      <c r="G341" s="69">
        <v>244.67500000000001</v>
      </c>
      <c r="H341">
        <f t="shared" si="5"/>
        <v>2.4467500000000002</v>
      </c>
    </row>
    <row r="342" spans="1:8" x14ac:dyDescent="0.2">
      <c r="A342" s="69">
        <v>2018</v>
      </c>
      <c r="B342" s="69">
        <v>4</v>
      </c>
      <c r="C342" s="69">
        <v>15</v>
      </c>
      <c r="D342">
        <v>5</v>
      </c>
      <c r="E342" s="69">
        <v>0</v>
      </c>
      <c r="F342" s="69">
        <v>0</v>
      </c>
      <c r="G342" s="69">
        <v>252.92500000000001</v>
      </c>
      <c r="H342">
        <f t="shared" si="5"/>
        <v>2.5292500000000002</v>
      </c>
    </row>
    <row r="343" spans="1:8" x14ac:dyDescent="0.2">
      <c r="A343" s="69">
        <v>2018</v>
      </c>
      <c r="B343" s="69">
        <v>4</v>
      </c>
      <c r="C343" s="69">
        <v>15</v>
      </c>
      <c r="D343" s="69">
        <v>6</v>
      </c>
      <c r="E343" s="69">
        <v>0</v>
      </c>
      <c r="F343" s="69">
        <v>0</v>
      </c>
      <c r="G343" s="69">
        <v>256.22500000000002</v>
      </c>
      <c r="H343">
        <f t="shared" si="5"/>
        <v>2.5622500000000001</v>
      </c>
    </row>
    <row r="344" spans="1:8" x14ac:dyDescent="0.2">
      <c r="A344" s="69">
        <v>2018</v>
      </c>
      <c r="B344" s="69">
        <v>4</v>
      </c>
      <c r="C344" s="69">
        <v>15</v>
      </c>
      <c r="D344">
        <v>7</v>
      </c>
      <c r="E344" s="69">
        <v>0</v>
      </c>
      <c r="F344" s="69">
        <v>0</v>
      </c>
      <c r="G344" s="69">
        <v>259.60000000000002</v>
      </c>
      <c r="H344">
        <f t="shared" si="5"/>
        <v>2.5960000000000001</v>
      </c>
    </row>
    <row r="345" spans="1:8" x14ac:dyDescent="0.2">
      <c r="A345" s="69">
        <v>2018</v>
      </c>
      <c r="B345" s="69">
        <v>4</v>
      </c>
      <c r="C345" s="69">
        <v>15</v>
      </c>
      <c r="D345" s="69">
        <v>8</v>
      </c>
      <c r="E345" s="69">
        <v>0</v>
      </c>
      <c r="F345" s="69">
        <v>0</v>
      </c>
      <c r="G345" s="69">
        <v>259.67500000000001</v>
      </c>
      <c r="H345">
        <f t="shared" si="5"/>
        <v>2.5967500000000001</v>
      </c>
    </row>
    <row r="346" spans="1:8" x14ac:dyDescent="0.2">
      <c r="A346" s="69">
        <v>2018</v>
      </c>
      <c r="B346" s="69">
        <v>4</v>
      </c>
      <c r="C346" s="69">
        <v>15</v>
      </c>
      <c r="D346">
        <v>9</v>
      </c>
      <c r="E346" s="69">
        <v>0</v>
      </c>
      <c r="F346" s="69">
        <v>0</v>
      </c>
      <c r="G346" s="69">
        <v>257.57499999999999</v>
      </c>
      <c r="H346">
        <f t="shared" si="5"/>
        <v>2.5757499999999998</v>
      </c>
    </row>
    <row r="347" spans="1:8" x14ac:dyDescent="0.2">
      <c r="A347" s="69">
        <v>2018</v>
      </c>
      <c r="B347" s="69">
        <v>4</v>
      </c>
      <c r="C347" s="69">
        <v>15</v>
      </c>
      <c r="D347" s="69">
        <v>10</v>
      </c>
      <c r="E347" s="69">
        <v>0</v>
      </c>
      <c r="F347" s="69">
        <v>0</v>
      </c>
      <c r="G347" s="69">
        <v>257.02499999999998</v>
      </c>
      <c r="H347">
        <f t="shared" si="5"/>
        <v>2.5702499999999997</v>
      </c>
    </row>
    <row r="348" spans="1:8" x14ac:dyDescent="0.2">
      <c r="A348" s="69">
        <v>2018</v>
      </c>
      <c r="B348" s="69">
        <v>4</v>
      </c>
      <c r="C348" s="69">
        <v>15</v>
      </c>
      <c r="D348">
        <v>11</v>
      </c>
      <c r="E348" s="69">
        <v>0</v>
      </c>
      <c r="F348" s="69">
        <v>0</v>
      </c>
      <c r="G348" s="69">
        <v>256.375</v>
      </c>
      <c r="H348">
        <f t="shared" si="5"/>
        <v>2.5637500000000002</v>
      </c>
    </row>
    <row r="349" spans="1:8" x14ac:dyDescent="0.2">
      <c r="A349" s="69">
        <v>2018</v>
      </c>
      <c r="B349" s="69">
        <v>4</v>
      </c>
      <c r="C349" s="69">
        <v>15</v>
      </c>
      <c r="D349" s="69">
        <v>12</v>
      </c>
      <c r="E349" s="69">
        <v>0</v>
      </c>
      <c r="F349" s="69">
        <v>0</v>
      </c>
      <c r="G349" s="69">
        <v>252.92500000000001</v>
      </c>
      <c r="H349">
        <f t="shared" si="5"/>
        <v>2.5292500000000002</v>
      </c>
    </row>
    <row r="350" spans="1:8" x14ac:dyDescent="0.2">
      <c r="A350" s="69">
        <v>2018</v>
      </c>
      <c r="B350" s="69">
        <v>4</v>
      </c>
      <c r="C350" s="69">
        <v>15</v>
      </c>
      <c r="D350">
        <v>13</v>
      </c>
      <c r="E350" s="69">
        <v>0</v>
      </c>
      <c r="F350" s="69">
        <v>0</v>
      </c>
      <c r="G350" s="69">
        <v>256.07499999999999</v>
      </c>
      <c r="H350">
        <f t="shared" si="5"/>
        <v>2.5607500000000001</v>
      </c>
    </row>
    <row r="351" spans="1:8" x14ac:dyDescent="0.2">
      <c r="A351" s="69">
        <v>2018</v>
      </c>
      <c r="B351" s="69">
        <v>4</v>
      </c>
      <c r="C351" s="69">
        <v>15</v>
      </c>
      <c r="D351" s="69">
        <v>14</v>
      </c>
      <c r="E351" s="69">
        <v>0</v>
      </c>
      <c r="F351" s="69">
        <v>0</v>
      </c>
      <c r="G351" s="69">
        <v>256.57499999999999</v>
      </c>
      <c r="H351">
        <f t="shared" si="5"/>
        <v>2.56575</v>
      </c>
    </row>
    <row r="352" spans="1:8" x14ac:dyDescent="0.2">
      <c r="A352" s="69">
        <v>2018</v>
      </c>
      <c r="B352" s="69">
        <v>4</v>
      </c>
      <c r="C352" s="69">
        <v>15</v>
      </c>
      <c r="D352">
        <v>15</v>
      </c>
      <c r="E352" s="69">
        <v>0</v>
      </c>
      <c r="F352" s="69">
        <v>0</v>
      </c>
      <c r="G352" s="69">
        <v>259.55</v>
      </c>
      <c r="H352">
        <f t="shared" si="5"/>
        <v>2.5954999999999999</v>
      </c>
    </row>
    <row r="353" spans="1:8" x14ac:dyDescent="0.2">
      <c r="A353" s="69">
        <v>2018</v>
      </c>
      <c r="B353" s="69">
        <v>4</v>
      </c>
      <c r="C353" s="69">
        <v>15</v>
      </c>
      <c r="D353" s="69">
        <v>16</v>
      </c>
      <c r="E353" s="69">
        <v>0</v>
      </c>
      <c r="F353" s="69">
        <v>0</v>
      </c>
      <c r="G353" s="69">
        <v>266.52499999999998</v>
      </c>
      <c r="H353">
        <f t="shared" si="5"/>
        <v>2.6652499999999999</v>
      </c>
    </row>
    <row r="354" spans="1:8" x14ac:dyDescent="0.2">
      <c r="A354" s="69">
        <v>2018</v>
      </c>
      <c r="B354" s="69">
        <v>4</v>
      </c>
      <c r="C354" s="69">
        <v>15</v>
      </c>
      <c r="D354">
        <v>17</v>
      </c>
      <c r="E354" s="69">
        <v>0</v>
      </c>
      <c r="F354" s="69">
        <v>0</v>
      </c>
      <c r="G354" s="69">
        <v>275.47500000000002</v>
      </c>
      <c r="H354">
        <f t="shared" si="5"/>
        <v>2.75475</v>
      </c>
    </row>
    <row r="355" spans="1:8" x14ac:dyDescent="0.2">
      <c r="A355" s="69">
        <v>2018</v>
      </c>
      <c r="B355" s="69">
        <v>4</v>
      </c>
      <c r="C355" s="69">
        <v>15</v>
      </c>
      <c r="D355" s="69">
        <v>18</v>
      </c>
      <c r="E355" s="69">
        <v>0</v>
      </c>
      <c r="F355" s="69">
        <v>0</v>
      </c>
      <c r="G355" s="69">
        <v>280.52499999999998</v>
      </c>
      <c r="H355">
        <f t="shared" si="5"/>
        <v>2.8052499999999996</v>
      </c>
    </row>
    <row r="356" spans="1:8" x14ac:dyDescent="0.2">
      <c r="A356" s="69">
        <v>2018</v>
      </c>
      <c r="B356" s="69">
        <v>4</v>
      </c>
      <c r="C356" s="69">
        <v>15</v>
      </c>
      <c r="D356">
        <v>19</v>
      </c>
      <c r="E356" s="69">
        <v>0</v>
      </c>
      <c r="F356" s="69">
        <v>0</v>
      </c>
      <c r="G356" s="69">
        <v>283.02499999999998</v>
      </c>
      <c r="H356">
        <f t="shared" si="5"/>
        <v>2.8302499999999999</v>
      </c>
    </row>
    <row r="357" spans="1:8" x14ac:dyDescent="0.2">
      <c r="A357" s="69">
        <v>2018</v>
      </c>
      <c r="B357" s="69">
        <v>4</v>
      </c>
      <c r="C357" s="69">
        <v>15</v>
      </c>
      <c r="D357" s="69">
        <v>20</v>
      </c>
      <c r="E357" s="69">
        <v>0</v>
      </c>
      <c r="F357" s="69">
        <v>0</v>
      </c>
      <c r="G357" s="69">
        <v>286.25</v>
      </c>
      <c r="H357">
        <f t="shared" si="5"/>
        <v>2.8624999999999998</v>
      </c>
    </row>
    <row r="358" spans="1:8" x14ac:dyDescent="0.2">
      <c r="A358" s="69">
        <v>2018</v>
      </c>
      <c r="B358" s="69">
        <v>4</v>
      </c>
      <c r="C358" s="69">
        <v>15</v>
      </c>
      <c r="D358">
        <v>21</v>
      </c>
      <c r="E358" s="69">
        <v>0</v>
      </c>
      <c r="F358" s="69">
        <v>0</v>
      </c>
      <c r="G358" s="69">
        <v>281.57499999999999</v>
      </c>
      <c r="H358">
        <f t="shared" si="5"/>
        <v>2.81575</v>
      </c>
    </row>
    <row r="359" spans="1:8" x14ac:dyDescent="0.2">
      <c r="A359" s="69">
        <v>2018</v>
      </c>
      <c r="B359" s="69">
        <v>4</v>
      </c>
      <c r="C359" s="69">
        <v>15</v>
      </c>
      <c r="D359" s="69">
        <v>22</v>
      </c>
      <c r="E359" s="69">
        <v>0</v>
      </c>
      <c r="F359" s="69">
        <v>0</v>
      </c>
      <c r="G359" s="69">
        <v>275.875</v>
      </c>
      <c r="H359">
        <f t="shared" si="5"/>
        <v>2.75875</v>
      </c>
    </row>
    <row r="360" spans="1:8" x14ac:dyDescent="0.2">
      <c r="A360" s="69">
        <v>2018</v>
      </c>
      <c r="B360" s="69">
        <v>4</v>
      </c>
      <c r="C360" s="69">
        <v>15</v>
      </c>
      <c r="D360">
        <v>23</v>
      </c>
      <c r="E360" s="69">
        <v>0</v>
      </c>
      <c r="F360" s="69">
        <v>0</v>
      </c>
      <c r="G360" s="69">
        <v>271.82499999999999</v>
      </c>
      <c r="H360">
        <f t="shared" si="5"/>
        <v>2.7182499999999998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Teori</vt:lpstr>
      <vt:lpstr>Input</vt:lpstr>
      <vt:lpstr>Calculation</vt:lpstr>
      <vt:lpstr>Sheet1</vt:lpstr>
      <vt:lpstr>_1stA</vt:lpstr>
      <vt:lpstr>_1stDate</vt:lpstr>
      <vt:lpstr>_1stObs</vt:lpstr>
      <vt:lpstr>_1stOutput</vt:lpstr>
      <vt:lpstr>_1stPeriod</vt:lpstr>
      <vt:lpstr>_chartCalculations</vt:lpstr>
      <vt:lpstr>_chartDate</vt:lpstr>
      <vt:lpstr>_chartDelta</vt:lpstr>
      <vt:lpstr>_chartObservations</vt:lpstr>
      <vt:lpstr>_MSL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prediksi pasang surut 29hari</dc:title>
  <dc:creator>zainul ulum</dc:creator>
  <cp:lastModifiedBy>Jonathan Raditya</cp:lastModifiedBy>
  <cp:lastPrinted>2009-04-01T02:48:15Z</cp:lastPrinted>
  <dcterms:created xsi:type="dcterms:W3CDTF">2009-03-17T23:56:18Z</dcterms:created>
  <dcterms:modified xsi:type="dcterms:W3CDTF">2022-10-18T03:16:02Z</dcterms:modified>
</cp:coreProperties>
</file>